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360MoveData\Users\admin\Desktop\Workstation\idea\Hydroxylamine\数据整理\"/>
    </mc:Choice>
  </mc:AlternateContent>
  <xr:revisionPtr revIDLastSave="0" documentId="13_ncr:1_{49A53219-9454-4C7D-9ACB-B64574FBD7D8}" xr6:coauthVersionLast="47" xr6:coauthVersionMax="47" xr10:uidLastSave="{00000000-0000-0000-0000-000000000000}"/>
  <bookViews>
    <workbookView xWindow="2550" yWindow="3360" windowWidth="28335" windowHeight="17355" activeTab="1" xr2:uid="{00000000-000D-0000-FFFF-FFFF00000000}"/>
  </bookViews>
  <sheets>
    <sheet name="CHE" sheetId="1" r:id="rId1"/>
    <sheet name="vaspsol" sheetId="2" r:id="rId2"/>
    <sheet name="CPM-0.4" sheetId="4" r:id="rId3"/>
    <sheet name="CPM-0.8" sheetId="5" r:id="rId4"/>
    <sheet name="vaspsol-0.4  " sheetId="7" r:id="rId5"/>
    <sheet name="vaspsol-0.8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4" i="5" l="1"/>
  <c r="C44" i="7"/>
  <c r="C44" i="6"/>
  <c r="C44" i="4"/>
  <c r="E34" i="7"/>
  <c r="E33" i="7"/>
  <c r="E31" i="7"/>
  <c r="E29" i="7"/>
  <c r="C46" i="7" s="1"/>
  <c r="E27" i="7"/>
  <c r="E25" i="7"/>
  <c r="E24" i="7"/>
  <c r="C45" i="7" s="1"/>
  <c r="E23" i="7"/>
  <c r="E21" i="7"/>
  <c r="E19" i="7"/>
  <c r="E18" i="7"/>
  <c r="E16" i="7"/>
  <c r="E14" i="7"/>
  <c r="E13" i="7"/>
  <c r="E11" i="7"/>
  <c r="E10" i="7"/>
  <c r="E9" i="7"/>
  <c r="E7" i="7"/>
  <c r="E4" i="7"/>
  <c r="F4" i="7" s="1"/>
  <c r="E3" i="7"/>
  <c r="E2" i="7"/>
  <c r="C46" i="6"/>
  <c r="E34" i="6"/>
  <c r="E33" i="6"/>
  <c r="E31" i="6"/>
  <c r="E29" i="6"/>
  <c r="E27" i="6"/>
  <c r="E25" i="6"/>
  <c r="E24" i="6"/>
  <c r="E23" i="6"/>
  <c r="C43" i="6" s="1"/>
  <c r="E21" i="6"/>
  <c r="E19" i="6"/>
  <c r="E18" i="6"/>
  <c r="E16" i="6"/>
  <c r="E14" i="6"/>
  <c r="E13" i="6"/>
  <c r="E11" i="6"/>
  <c r="E10" i="6"/>
  <c r="E9" i="6"/>
  <c r="E7" i="6"/>
  <c r="E4" i="6"/>
  <c r="F4" i="6" s="1"/>
  <c r="E3" i="6"/>
  <c r="E2" i="6"/>
  <c r="C41" i="7" l="1"/>
  <c r="C42" i="7"/>
  <c r="C40" i="7"/>
  <c r="C37" i="7"/>
  <c r="D37" i="7" s="1"/>
  <c r="F37" i="7" s="1"/>
  <c r="H37" i="7" s="1"/>
  <c r="C51" i="7"/>
  <c r="C38" i="7"/>
  <c r="C43" i="7"/>
  <c r="C50" i="7"/>
  <c r="C39" i="7"/>
  <c r="D39" i="7" s="1"/>
  <c r="H39" i="7" s="1"/>
  <c r="C45" i="6"/>
  <c r="C42" i="6"/>
  <c r="C40" i="6"/>
  <c r="C41" i="6"/>
  <c r="C38" i="6"/>
  <c r="C39" i="6"/>
  <c r="D39" i="6" s="1"/>
  <c r="C37" i="6"/>
  <c r="D37" i="6" s="1"/>
  <c r="F37" i="6" s="1"/>
  <c r="H37" i="6" s="1"/>
  <c r="C51" i="6"/>
  <c r="C50" i="6"/>
  <c r="E34" i="5"/>
  <c r="E33" i="5"/>
  <c r="E31" i="5"/>
  <c r="E29" i="5"/>
  <c r="C46" i="5" s="1"/>
  <c r="E27" i="5"/>
  <c r="E25" i="5"/>
  <c r="E24" i="5"/>
  <c r="C45" i="5" s="1"/>
  <c r="E23" i="5"/>
  <c r="E21" i="5"/>
  <c r="E19" i="5"/>
  <c r="E18" i="5"/>
  <c r="E16" i="5"/>
  <c r="E14" i="5"/>
  <c r="C39" i="5" s="1"/>
  <c r="E13" i="5"/>
  <c r="C38" i="5" s="1"/>
  <c r="E11" i="5"/>
  <c r="E10" i="5"/>
  <c r="E9" i="5"/>
  <c r="E7" i="5"/>
  <c r="E4" i="5"/>
  <c r="E3" i="5"/>
  <c r="E2" i="5"/>
  <c r="E34" i="4"/>
  <c r="E33" i="4"/>
  <c r="C50" i="4" s="1"/>
  <c r="E31" i="4"/>
  <c r="E29" i="4"/>
  <c r="C45" i="4" s="1"/>
  <c r="E27" i="4"/>
  <c r="E25" i="4"/>
  <c r="E24" i="4"/>
  <c r="E23" i="4"/>
  <c r="E21" i="4"/>
  <c r="C43" i="4" s="1"/>
  <c r="E19" i="4"/>
  <c r="E18" i="4"/>
  <c r="C42" i="4" s="1"/>
  <c r="E16" i="4"/>
  <c r="E14" i="4"/>
  <c r="C39" i="4" s="1"/>
  <c r="E13" i="4"/>
  <c r="C38" i="4" s="1"/>
  <c r="E11" i="4"/>
  <c r="E10" i="4"/>
  <c r="E9" i="4"/>
  <c r="E7" i="4"/>
  <c r="E4" i="4"/>
  <c r="F4" i="4" s="1"/>
  <c r="E3" i="4"/>
  <c r="E2" i="4"/>
  <c r="I44" i="1"/>
  <c r="H46" i="1"/>
  <c r="H45" i="1"/>
  <c r="H43" i="1"/>
  <c r="H39" i="1"/>
  <c r="H41" i="1"/>
  <c r="H37" i="1"/>
  <c r="F37" i="1"/>
  <c r="F46" i="1"/>
  <c r="F45" i="1"/>
  <c r="G44" i="1"/>
  <c r="F43" i="1"/>
  <c r="F41" i="1"/>
  <c r="F39" i="1"/>
  <c r="D46" i="1"/>
  <c r="D45" i="1"/>
  <c r="E44" i="1"/>
  <c r="D43" i="1"/>
  <c r="D41" i="1"/>
  <c r="D39" i="1"/>
  <c r="D37" i="1"/>
  <c r="D41" i="7" l="1"/>
  <c r="F41" i="7" s="1"/>
  <c r="F39" i="7"/>
  <c r="D41" i="6"/>
  <c r="H39" i="6"/>
  <c r="F39" i="6"/>
  <c r="D43" i="6"/>
  <c r="H41" i="6"/>
  <c r="F41" i="6"/>
  <c r="C51" i="4"/>
  <c r="C43" i="5"/>
  <c r="C40" i="5"/>
  <c r="C41" i="5"/>
  <c r="C42" i="5"/>
  <c r="F4" i="5"/>
  <c r="C50" i="5"/>
  <c r="C37" i="5"/>
  <c r="D37" i="5" s="1"/>
  <c r="F37" i="5" s="1"/>
  <c r="H37" i="5" s="1"/>
  <c r="C51" i="5"/>
  <c r="C46" i="4"/>
  <c r="C40" i="4"/>
  <c r="C41" i="4"/>
  <c r="C37" i="4"/>
  <c r="D37" i="4" s="1"/>
  <c r="F37" i="4" s="1"/>
  <c r="H37" i="4" s="1"/>
  <c r="I115" i="2"/>
  <c r="G115" i="2"/>
  <c r="H115" i="2" s="1"/>
  <c r="I114" i="2"/>
  <c r="G114" i="2"/>
  <c r="H114" i="2" s="1"/>
  <c r="I113" i="2"/>
  <c r="G113" i="2"/>
  <c r="H113" i="2" s="1"/>
  <c r="I112" i="2"/>
  <c r="G112" i="2"/>
  <c r="H112" i="2" s="1"/>
  <c r="I111" i="2"/>
  <c r="G111" i="2"/>
  <c r="H111" i="2" s="1"/>
  <c r="I107" i="2"/>
  <c r="H107" i="2"/>
  <c r="G107" i="2"/>
  <c r="I106" i="2"/>
  <c r="G106" i="2"/>
  <c r="H106" i="2" s="1"/>
  <c r="I105" i="2"/>
  <c r="G105" i="2"/>
  <c r="H105" i="2" s="1"/>
  <c r="I104" i="2"/>
  <c r="G104" i="2"/>
  <c r="H104" i="2" s="1"/>
  <c r="I103" i="2"/>
  <c r="G103" i="2"/>
  <c r="H103" i="2" s="1"/>
  <c r="I99" i="2"/>
  <c r="G99" i="2"/>
  <c r="H99" i="2" s="1"/>
  <c r="I98" i="2"/>
  <c r="G98" i="2"/>
  <c r="H98" i="2" s="1"/>
  <c r="I97" i="2"/>
  <c r="G97" i="2"/>
  <c r="H97" i="2" s="1"/>
  <c r="I96" i="2"/>
  <c r="H96" i="2"/>
  <c r="G96" i="2"/>
  <c r="I95" i="2"/>
  <c r="G95" i="2"/>
  <c r="H95" i="2" s="1"/>
  <c r="I91" i="2"/>
  <c r="G91" i="2"/>
  <c r="H91" i="2" s="1"/>
  <c r="I90" i="2"/>
  <c r="G90" i="2"/>
  <c r="H90" i="2" s="1"/>
  <c r="I89" i="2"/>
  <c r="G89" i="2"/>
  <c r="H89" i="2" s="1"/>
  <c r="I88" i="2"/>
  <c r="G88" i="2"/>
  <c r="H88" i="2" s="1"/>
  <c r="I87" i="2"/>
  <c r="G87" i="2"/>
  <c r="H87" i="2" s="1"/>
  <c r="I83" i="2"/>
  <c r="G83" i="2"/>
  <c r="H83" i="2" s="1"/>
  <c r="I82" i="2"/>
  <c r="G82" i="2"/>
  <c r="H82" i="2" s="1"/>
  <c r="I81" i="2"/>
  <c r="G81" i="2"/>
  <c r="H81" i="2" s="1"/>
  <c r="I80" i="2"/>
  <c r="G80" i="2"/>
  <c r="H80" i="2" s="1"/>
  <c r="I79" i="2"/>
  <c r="G79" i="2"/>
  <c r="H79" i="2" s="1"/>
  <c r="I75" i="2"/>
  <c r="G75" i="2"/>
  <c r="H75" i="2" s="1"/>
  <c r="I74" i="2"/>
  <c r="G74" i="2"/>
  <c r="H74" i="2" s="1"/>
  <c r="I73" i="2"/>
  <c r="H73" i="2"/>
  <c r="G73" i="2"/>
  <c r="I72" i="2"/>
  <c r="H72" i="2"/>
  <c r="G72" i="2"/>
  <c r="I71" i="2"/>
  <c r="G71" i="2"/>
  <c r="H71" i="2" s="1"/>
  <c r="I67" i="2"/>
  <c r="G67" i="2"/>
  <c r="H67" i="2" s="1"/>
  <c r="I66" i="2"/>
  <c r="G66" i="2"/>
  <c r="H66" i="2" s="1"/>
  <c r="I65" i="2"/>
  <c r="G65" i="2"/>
  <c r="H65" i="2" s="1"/>
  <c r="I64" i="2"/>
  <c r="G64" i="2"/>
  <c r="H64" i="2" s="1"/>
  <c r="I63" i="2"/>
  <c r="G63" i="2"/>
  <c r="H63" i="2" s="1"/>
  <c r="I59" i="2"/>
  <c r="G59" i="2"/>
  <c r="H59" i="2" s="1"/>
  <c r="I58" i="2"/>
  <c r="G58" i="2"/>
  <c r="H58" i="2" s="1"/>
  <c r="I57" i="2"/>
  <c r="G57" i="2"/>
  <c r="H57" i="2" s="1"/>
  <c r="I56" i="2"/>
  <c r="G56" i="2"/>
  <c r="H56" i="2" s="1"/>
  <c r="I55" i="2"/>
  <c r="G55" i="2"/>
  <c r="H55" i="2" s="1"/>
  <c r="I51" i="2"/>
  <c r="G51" i="2"/>
  <c r="H51" i="2" s="1"/>
  <c r="I50" i="2"/>
  <c r="G50" i="2"/>
  <c r="H50" i="2" s="1"/>
  <c r="I49" i="2"/>
  <c r="G49" i="2"/>
  <c r="H49" i="2" s="1"/>
  <c r="I48" i="2"/>
  <c r="G48" i="2"/>
  <c r="H48" i="2" s="1"/>
  <c r="I47" i="2"/>
  <c r="G47" i="2"/>
  <c r="H47" i="2" s="1"/>
  <c r="I43" i="2"/>
  <c r="G43" i="2"/>
  <c r="H43" i="2" s="1"/>
  <c r="I42" i="2"/>
  <c r="G42" i="2"/>
  <c r="H42" i="2" s="1"/>
  <c r="I41" i="2"/>
  <c r="G41" i="2"/>
  <c r="H41" i="2" s="1"/>
  <c r="I40" i="2"/>
  <c r="H40" i="2"/>
  <c r="G40" i="2"/>
  <c r="I39" i="2"/>
  <c r="G39" i="2"/>
  <c r="H39" i="2" s="1"/>
  <c r="I35" i="2"/>
  <c r="G35" i="2"/>
  <c r="H35" i="2" s="1"/>
  <c r="I34" i="2"/>
  <c r="G34" i="2"/>
  <c r="H34" i="2" s="1"/>
  <c r="I33" i="2"/>
  <c r="G33" i="2"/>
  <c r="H33" i="2" s="1"/>
  <c r="I32" i="2"/>
  <c r="G32" i="2"/>
  <c r="H32" i="2" s="1"/>
  <c r="I31" i="2"/>
  <c r="G31" i="2"/>
  <c r="H31" i="2" s="1"/>
  <c r="I27" i="2"/>
  <c r="H27" i="2"/>
  <c r="I26" i="2"/>
  <c r="H26" i="2"/>
  <c r="I25" i="2"/>
  <c r="H25" i="2"/>
  <c r="I24" i="2"/>
  <c r="H24" i="2"/>
  <c r="I23" i="2"/>
  <c r="H23" i="2"/>
  <c r="G27" i="2"/>
  <c r="G26" i="2"/>
  <c r="G25" i="2"/>
  <c r="G24" i="2"/>
  <c r="G23" i="2"/>
  <c r="I19" i="2"/>
  <c r="I18" i="2"/>
  <c r="I17" i="2"/>
  <c r="I16" i="2"/>
  <c r="I15" i="2"/>
  <c r="I7" i="2"/>
  <c r="H16" i="2"/>
  <c r="H17" i="2"/>
  <c r="H18" i="2"/>
  <c r="H19" i="2"/>
  <c r="H15" i="2"/>
  <c r="G16" i="2"/>
  <c r="G17" i="2"/>
  <c r="G18" i="2"/>
  <c r="G19" i="2"/>
  <c r="G15" i="2"/>
  <c r="I8" i="2"/>
  <c r="I9" i="2"/>
  <c r="I10" i="2"/>
  <c r="I11" i="2"/>
  <c r="G8" i="2"/>
  <c r="H8" i="2" s="1"/>
  <c r="G9" i="2"/>
  <c r="H9" i="2" s="1"/>
  <c r="G10" i="2"/>
  <c r="H10" i="2" s="1"/>
  <c r="G11" i="2"/>
  <c r="H11" i="2" s="1"/>
  <c r="G7" i="2"/>
  <c r="H7" i="2" s="1"/>
  <c r="C40" i="1"/>
  <c r="C51" i="1"/>
  <c r="C50" i="1"/>
  <c r="C44" i="1"/>
  <c r="C46" i="1"/>
  <c r="C45" i="1"/>
  <c r="C43" i="1"/>
  <c r="C42" i="1"/>
  <c r="C41" i="1"/>
  <c r="C39" i="1"/>
  <c r="C38" i="1"/>
  <c r="C37" i="1"/>
  <c r="F4" i="1"/>
  <c r="E3" i="1"/>
  <c r="E4" i="1"/>
  <c r="E2" i="1"/>
  <c r="E24" i="1"/>
  <c r="E19" i="1"/>
  <c r="E9" i="1"/>
  <c r="E10" i="1"/>
  <c r="E11" i="1"/>
  <c r="E13" i="1"/>
  <c r="E14" i="1"/>
  <c r="E16" i="1"/>
  <c r="E18" i="1"/>
  <c r="E21" i="1"/>
  <c r="E23" i="1"/>
  <c r="E25" i="1"/>
  <c r="E27" i="1"/>
  <c r="E29" i="1"/>
  <c r="E31" i="1"/>
  <c r="E33" i="1"/>
  <c r="E34" i="1"/>
  <c r="E7" i="1"/>
  <c r="H41" i="7" l="1"/>
  <c r="D43" i="7"/>
  <c r="D45" i="7" s="1"/>
  <c r="E44" i="7"/>
  <c r="F43" i="7"/>
  <c r="G44" i="7" s="1"/>
  <c r="E44" i="6"/>
  <c r="F43" i="6"/>
  <c r="G44" i="6" s="1"/>
  <c r="D45" i="6"/>
  <c r="H43" i="6"/>
  <c r="I44" i="6" s="1"/>
  <c r="D39" i="5"/>
  <c r="D39" i="4"/>
  <c r="D41" i="4"/>
  <c r="H39" i="4"/>
  <c r="F39" i="4"/>
  <c r="H43" i="7" l="1"/>
  <c r="I44" i="7" s="1"/>
  <c r="D46" i="7"/>
  <c r="H45" i="7"/>
  <c r="F45" i="7"/>
  <c r="D46" i="6"/>
  <c r="H45" i="6"/>
  <c r="F45" i="6"/>
  <c r="D41" i="5"/>
  <c r="H39" i="5"/>
  <c r="F39" i="5"/>
  <c r="H41" i="4"/>
  <c r="F41" i="4"/>
  <c r="D43" i="4"/>
  <c r="H46" i="7" l="1"/>
  <c r="F46" i="7"/>
  <c r="H46" i="6"/>
  <c r="F46" i="6"/>
  <c r="D43" i="5"/>
  <c r="H41" i="5"/>
  <c r="F41" i="5"/>
  <c r="H43" i="4"/>
  <c r="I44" i="4" s="1"/>
  <c r="D45" i="4"/>
  <c r="E44" i="4"/>
  <c r="F43" i="4"/>
  <c r="G44" i="4" s="1"/>
  <c r="D45" i="5" l="1"/>
  <c r="E44" i="5"/>
  <c r="F43" i="5"/>
  <c r="G44" i="5" s="1"/>
  <c r="H43" i="5"/>
  <c r="I44" i="5" s="1"/>
  <c r="D46" i="4"/>
  <c r="H45" i="4"/>
  <c r="F45" i="4"/>
  <c r="D46" i="5" l="1"/>
  <c r="H45" i="5"/>
  <c r="F45" i="5"/>
  <c r="H46" i="4"/>
  <c r="F46" i="4"/>
  <c r="H46" i="5" l="1"/>
  <c r="F46" i="5"/>
</calcChain>
</file>

<file path=xl/sharedStrings.xml><?xml version="1.0" encoding="utf-8"?>
<sst xmlns="http://schemas.openxmlformats.org/spreadsheetml/2006/main" count="463" uniqueCount="75">
  <si>
    <t>*</t>
    <phoneticPr fontId="1" type="noConversion"/>
  </si>
  <si>
    <t>*NO</t>
    <phoneticPr fontId="1" type="noConversion"/>
  </si>
  <si>
    <t>*NOH</t>
    <phoneticPr fontId="1" type="noConversion"/>
  </si>
  <si>
    <t>*NHO</t>
    <phoneticPr fontId="1" type="noConversion"/>
  </si>
  <si>
    <t>*ON</t>
    <phoneticPr fontId="1" type="noConversion"/>
  </si>
  <si>
    <t>*NO*</t>
    <phoneticPr fontId="1" type="noConversion"/>
  </si>
  <si>
    <t>*N</t>
    <phoneticPr fontId="1" type="noConversion"/>
  </si>
  <si>
    <t>*NHOH</t>
    <phoneticPr fontId="1" type="noConversion"/>
  </si>
  <si>
    <t>*NH2O</t>
    <phoneticPr fontId="1" type="noConversion"/>
  </si>
  <si>
    <t>*NH2OH</t>
    <phoneticPr fontId="1" type="noConversion"/>
  </si>
  <si>
    <t>*NH2</t>
    <phoneticPr fontId="1" type="noConversion"/>
  </si>
  <si>
    <t>*NH</t>
    <phoneticPr fontId="1" type="noConversion"/>
  </si>
  <si>
    <t>*NH3</t>
    <phoneticPr fontId="1" type="noConversion"/>
  </si>
  <si>
    <t>*+NH2OH</t>
    <phoneticPr fontId="1" type="noConversion"/>
  </si>
  <si>
    <t>E</t>
    <phoneticPr fontId="1" type="noConversion"/>
  </si>
  <si>
    <t>ZPE</t>
    <phoneticPr fontId="1" type="noConversion"/>
  </si>
  <si>
    <t>G</t>
    <phoneticPr fontId="1" type="noConversion"/>
  </si>
  <si>
    <t>备注</t>
    <phoneticPr fontId="1" type="noConversion"/>
  </si>
  <si>
    <t>*H2O</t>
    <phoneticPr fontId="1" type="noConversion"/>
  </si>
  <si>
    <t>*H</t>
    <phoneticPr fontId="1" type="noConversion"/>
  </si>
  <si>
    <t>*NHOH-2</t>
    <phoneticPr fontId="1" type="noConversion"/>
  </si>
  <si>
    <t>构型略有不同</t>
    <phoneticPr fontId="1" type="noConversion"/>
  </si>
  <si>
    <t>*NH2OH-2</t>
    <phoneticPr fontId="1" type="noConversion"/>
  </si>
  <si>
    <t>一致</t>
    <phoneticPr fontId="1" type="noConversion"/>
  </si>
  <si>
    <t>*NO + H+ + e- &gt; *NOH</t>
    <phoneticPr fontId="1" type="noConversion"/>
  </si>
  <si>
    <t>* + NO  &gt; *NO</t>
    <phoneticPr fontId="1" type="noConversion"/>
  </si>
  <si>
    <t>NO</t>
    <phoneticPr fontId="1" type="noConversion"/>
  </si>
  <si>
    <t>*NO + H+ + e- &gt; *NHO</t>
    <phoneticPr fontId="1" type="noConversion"/>
  </si>
  <si>
    <t>*NHO + H+ + e- &gt; *NH2O</t>
    <phoneticPr fontId="1" type="noConversion"/>
  </si>
  <si>
    <t>*NHO + H+ + e- &gt; *NHOH</t>
    <phoneticPr fontId="1" type="noConversion"/>
  </si>
  <si>
    <t>*NH2O + H+ + e- &gt; *NH2OH</t>
    <phoneticPr fontId="1" type="noConversion"/>
  </si>
  <si>
    <t>H2O</t>
    <phoneticPr fontId="1" type="noConversion"/>
  </si>
  <si>
    <t>*NH2OH  &gt; * + NH2OH</t>
    <phoneticPr fontId="1" type="noConversion"/>
  </si>
  <si>
    <t>*NH2OH + H+ + e- &gt; *NH2 + H2O</t>
    <phoneticPr fontId="1" type="noConversion"/>
  </si>
  <si>
    <t xml:space="preserve">*NH2 + H+ + e- &gt; *NH3 </t>
    <phoneticPr fontId="1" type="noConversion"/>
  </si>
  <si>
    <t>NH2OH</t>
    <phoneticPr fontId="1" type="noConversion"/>
  </si>
  <si>
    <t>H+ + e-</t>
    <phoneticPr fontId="1" type="noConversion"/>
  </si>
  <si>
    <t>* + H2O  &gt; *H2O</t>
    <phoneticPr fontId="1" type="noConversion"/>
  </si>
  <si>
    <t>* + H+ + e- &gt; *H</t>
    <phoneticPr fontId="1" type="noConversion"/>
  </si>
  <si>
    <t>*NHO + H+ + e- &gt; *N + H2O</t>
    <phoneticPr fontId="1" type="noConversion"/>
  </si>
  <si>
    <r>
      <rPr>
        <sz val="10"/>
        <color theme="1"/>
        <rFont val="宋体"/>
        <family val="1"/>
        <charset val="134"/>
      </rPr>
      <t>回</t>
    </r>
    <r>
      <rPr>
        <sz val="10"/>
        <color theme="1"/>
        <rFont val="Times New Roman"/>
        <family val="1"/>
      </rPr>
      <t>*NO</t>
    </r>
    <phoneticPr fontId="1" type="noConversion"/>
  </si>
  <si>
    <t>Valence Electrons</t>
    <phoneticPr fontId="1" type="noConversion"/>
  </si>
  <si>
    <t>Excess Charge</t>
    <phoneticPr fontId="1" type="noConversion"/>
  </si>
  <si>
    <t>slab</t>
    <phoneticPr fontId="1" type="noConversion"/>
  </si>
  <si>
    <r>
      <t>Δn</t>
    </r>
    <r>
      <rPr>
        <sz val="10"/>
        <color theme="1"/>
        <rFont val="宋体"/>
        <family val="1"/>
        <charset val="134"/>
      </rPr>
      <t>/e</t>
    </r>
    <phoneticPr fontId="1" type="noConversion"/>
  </si>
  <si>
    <t>E(DFT)/eV</t>
    <phoneticPr fontId="1" type="noConversion"/>
  </si>
  <si>
    <t>fermi/eV</t>
    <phoneticPr fontId="1" type="noConversion"/>
  </si>
  <si>
    <t>fermi_shift/Evac</t>
    <phoneticPr fontId="1" type="noConversion"/>
  </si>
  <si>
    <t>Φ/eV</t>
    <phoneticPr fontId="1" type="noConversion"/>
  </si>
  <si>
    <t>U(SHE)/V</t>
    <phoneticPr fontId="1" type="noConversion"/>
  </si>
  <si>
    <t>E(U)/eV</t>
    <phoneticPr fontId="1" type="noConversion"/>
  </si>
  <si>
    <t>Work Function</t>
    <phoneticPr fontId="1" type="noConversion"/>
  </si>
  <si>
    <t>Φ-4.7</t>
    <phoneticPr fontId="1" type="noConversion"/>
  </si>
  <si>
    <t>E(U)=E(DFT)-Δn*fermi/e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</si>
  <si>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</si>
  <si>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</si>
  <si>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</si>
  <si>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C(e/V)</t>
    <phoneticPr fontId="1" type="noConversion"/>
  </si>
  <si>
    <r>
      <t>KPINTS</t>
    </r>
    <r>
      <rPr>
        <sz val="10"/>
        <color theme="1"/>
        <rFont val="宋体"/>
        <family val="1"/>
        <charset val="134"/>
      </rPr>
      <t>：</t>
    </r>
    <r>
      <rPr>
        <sz val="10"/>
        <color theme="1"/>
        <rFont val="Times New Roman"/>
        <family val="1"/>
      </rPr>
      <t>3 3 1</t>
    </r>
    <phoneticPr fontId="1" type="noConversion"/>
  </si>
  <si>
    <r>
      <t>E(U) = -1/2C(U-U</t>
    </r>
    <r>
      <rPr>
        <vertAlign val="subscript"/>
        <sz val="10"/>
        <color theme="1"/>
        <rFont val="Times New Roman"/>
        <family val="1"/>
      </rPr>
      <t>0</t>
    </r>
    <r>
      <rPr>
        <sz val="10"/>
        <color theme="1"/>
        <rFont val="Times New Roman"/>
        <family val="1"/>
      </rPr>
      <t>)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+ E</t>
    </r>
    <r>
      <rPr>
        <vertAlign val="subscript"/>
        <sz val="10"/>
        <color theme="1"/>
        <rFont val="Times New Roman"/>
        <family val="1"/>
      </rPr>
      <t>0</t>
    </r>
    <phoneticPr fontId="1" type="noConversion"/>
  </si>
  <si>
    <r>
      <t>E(U) = a*U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+ b*U + c</t>
    </r>
    <phoneticPr fontId="1" type="noConversion"/>
  </si>
  <si>
    <r>
      <t>E(U) = -1/2CU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+ CU</t>
    </r>
    <r>
      <rPr>
        <vertAlign val="subscript"/>
        <sz val="10"/>
        <color theme="1"/>
        <rFont val="Times New Roman"/>
        <family val="1"/>
      </rPr>
      <t>0</t>
    </r>
    <r>
      <rPr>
        <sz val="10"/>
        <color theme="1"/>
        <rFont val="Times New Roman"/>
        <family val="1"/>
      </rPr>
      <t>U + E0 -1/2CU</t>
    </r>
    <r>
      <rPr>
        <vertAlign val="subscript"/>
        <sz val="10"/>
        <color theme="1"/>
        <rFont val="Times New Roman"/>
        <family val="1"/>
      </rPr>
      <t>0</t>
    </r>
    <r>
      <rPr>
        <vertAlign val="superscript"/>
        <sz val="10"/>
        <color theme="1"/>
        <rFont val="Times New Roman"/>
        <family val="1"/>
      </rPr>
      <t>2</t>
    </r>
    <phoneticPr fontId="1" type="noConversion"/>
  </si>
  <si>
    <r>
      <t>R</t>
    </r>
    <r>
      <rPr>
        <vertAlign val="superscript"/>
        <sz val="10"/>
        <color theme="1"/>
        <rFont val="Times New Roman"/>
        <family val="1"/>
      </rPr>
      <t>2</t>
    </r>
    <phoneticPr fontId="1" type="noConversion"/>
  </si>
  <si>
    <r>
      <t>E</t>
    </r>
    <r>
      <rPr>
        <b/>
        <vertAlign val="subscript"/>
        <sz val="10"/>
        <color theme="1"/>
        <rFont val="Times New Roman"/>
        <family val="1"/>
      </rPr>
      <t>0</t>
    </r>
    <r>
      <rPr>
        <b/>
        <sz val="10"/>
        <color theme="1"/>
        <rFont val="Times New Roman"/>
        <family val="1"/>
      </rPr>
      <t>(eV)</t>
    </r>
    <phoneticPr fontId="1" type="noConversion"/>
  </si>
  <si>
    <r>
      <t>U</t>
    </r>
    <r>
      <rPr>
        <b/>
        <vertAlign val="subscript"/>
        <sz val="10"/>
        <color theme="1"/>
        <rFont val="Times New Roman"/>
        <family val="1"/>
      </rPr>
      <t>0</t>
    </r>
    <r>
      <rPr>
        <b/>
        <sz val="10"/>
        <color theme="1"/>
        <rFont val="Times New Roman"/>
        <family val="1"/>
      </rPr>
      <t>(V)</t>
    </r>
    <phoneticPr fontId="1" type="noConversion"/>
  </si>
  <si>
    <t>H</t>
    <phoneticPr fontId="1" type="noConversion"/>
  </si>
  <si>
    <t>N</t>
    <phoneticPr fontId="1" type="noConversion"/>
  </si>
  <si>
    <t>NH</t>
    <phoneticPr fontId="1" type="noConversion"/>
  </si>
  <si>
    <t>NH2</t>
    <phoneticPr fontId="1" type="noConversion"/>
  </si>
  <si>
    <t>NH2O</t>
    <phoneticPr fontId="1" type="noConversion"/>
  </si>
  <si>
    <t>NH3</t>
    <phoneticPr fontId="1" type="noConversion"/>
  </si>
  <si>
    <t>NHO</t>
    <phoneticPr fontId="1" type="noConversion"/>
  </si>
  <si>
    <t>NHOH</t>
    <phoneticPr fontId="1" type="noConversion"/>
  </si>
  <si>
    <t>NOH</t>
    <phoneticPr fontId="1" type="noConversion"/>
  </si>
  <si>
    <t>desorption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</si>
</sst>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  <charset val="134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vertAlign val="superscript"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04111986001749E-2"/>
          <c:y val="0.18502333041703123"/>
          <c:w val="0.91290988626421699"/>
          <c:h val="0.7686803732866724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4803879493564054E-2"/>
                  <c:y val="-0.645130846951932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vaspsol!$H$7:$H$11</c:f>
              <c:numCache>
                <c:formatCode>General</c:formatCode>
                <c:ptCount val="5"/>
                <c:pt idx="0">
                  <c:v>8.3899999999999864E-2</c:v>
                </c:pt>
                <c:pt idx="1">
                  <c:v>-0.33059999999999956</c:v>
                </c:pt>
                <c:pt idx="2">
                  <c:v>-0.6802999999999999</c:v>
                </c:pt>
                <c:pt idx="3">
                  <c:v>-1.1167000000000002</c:v>
                </c:pt>
                <c:pt idx="4">
                  <c:v>-1.6054000000000004</c:v>
                </c:pt>
              </c:numCache>
            </c:numRef>
          </c:xVal>
          <c:yVal>
            <c:numRef>
              <c:f>vaspsol!$I$7:$I$11</c:f>
              <c:numCache>
                <c:formatCode>General</c:formatCode>
                <c:ptCount val="5"/>
                <c:pt idx="0">
                  <c:v>-428.84298355999999</c:v>
                </c:pt>
                <c:pt idx="1">
                  <c:v>-428.60460789000001</c:v>
                </c:pt>
                <c:pt idx="2">
                  <c:v>-428.52251036000001</c:v>
                </c:pt>
                <c:pt idx="3">
                  <c:v>-428.54813263</c:v>
                </c:pt>
                <c:pt idx="4">
                  <c:v>-428.90499203000002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C-4E31-8972-F80F2D772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39887967"/>
        <c:axId val="1939888383"/>
      </c:scatterChart>
      <c:valAx>
        <c:axId val="193988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888383"/>
        <c:crosses val="autoZero"/>
        <c:crossBetween val="midCat"/>
      </c:valAx>
      <c:valAx>
        <c:axId val="19398883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3988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676273</xdr:colOff>
      <xdr:row>4</xdr:row>
      <xdr:rowOff>4762</xdr:rowOff>
    </xdr:from>
    <xdr:to>
      <xdr:col>21</xdr:col>
      <xdr:colOff>466725</xdr:colOff>
      <xdr:row>11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4EFD0A-1678-44B9-B8D5-72B238899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zoomScale="115" zoomScaleNormal="115" workbookViewId="0">
      <selection activeCell="E1" sqref="E1"/>
    </sheetView>
  </sheetViews>
  <sheetFormatPr defaultRowHeight="12.75" x14ac:dyDescent="0.2"/>
  <cols>
    <col min="1" max="1" width="9" style="2"/>
    <col min="2" max="2" width="33.375" style="1" customWidth="1"/>
    <col min="3" max="3" width="10.5" style="2" customWidth="1"/>
    <col min="4" max="5" width="9" style="2"/>
    <col min="6" max="6" width="15.125" style="2" customWidth="1"/>
    <col min="7" max="16384" width="9" style="2"/>
  </cols>
  <sheetData>
    <row r="1" spans="2:6" x14ac:dyDescent="0.2">
      <c r="B1" s="1" t="s">
        <v>36</v>
      </c>
      <c r="E1" s="2">
        <v>-3.4032848800000002</v>
      </c>
    </row>
    <row r="2" spans="2:6" x14ac:dyDescent="0.2">
      <c r="B2" s="1" t="s">
        <v>26</v>
      </c>
      <c r="C2" s="2">
        <v>-11.98230828</v>
      </c>
      <c r="D2" s="2">
        <v>-0.40745700000000001</v>
      </c>
      <c r="E2" s="2">
        <f>C2+D2</f>
        <v>-12.389765280000001</v>
      </c>
    </row>
    <row r="3" spans="2:6" x14ac:dyDescent="0.2">
      <c r="B3" s="1" t="s">
        <v>31</v>
      </c>
      <c r="C3" s="2">
        <v>-14.217966499999999</v>
      </c>
      <c r="D3" s="2">
        <v>8.6572999999999997E-2</v>
      </c>
      <c r="E3" s="2">
        <f t="shared" ref="E3:E4" si="0">C3+D3</f>
        <v>-14.1313935</v>
      </c>
    </row>
    <row r="4" spans="2:6" x14ac:dyDescent="0.2">
      <c r="B4" s="1" t="s">
        <v>35</v>
      </c>
      <c r="C4" s="2">
        <v>-24.28658033</v>
      </c>
      <c r="D4" s="2">
        <v>0.44189600000000001</v>
      </c>
      <c r="E4" s="2">
        <f t="shared" si="0"/>
        <v>-23.84468433</v>
      </c>
      <c r="F4" s="2">
        <f>E4+E7</f>
        <v>-452.11746313000003</v>
      </c>
    </row>
    <row r="6" spans="2:6" x14ac:dyDescent="0.2">
      <c r="C6" s="2" t="s">
        <v>14</v>
      </c>
      <c r="D6" s="2" t="s">
        <v>15</v>
      </c>
      <c r="E6" s="2" t="s">
        <v>16</v>
      </c>
      <c r="F6" s="3" t="s">
        <v>17</v>
      </c>
    </row>
    <row r="7" spans="2:6" x14ac:dyDescent="0.2">
      <c r="B7" s="1" t="s">
        <v>0</v>
      </c>
      <c r="C7" s="2">
        <v>-428.27277880000003</v>
      </c>
      <c r="D7" s="2">
        <v>0</v>
      </c>
      <c r="E7" s="2">
        <f>C7+D7</f>
        <v>-428.27277880000003</v>
      </c>
    </row>
    <row r="9" spans="2:6" x14ac:dyDescent="0.2">
      <c r="B9" s="1" t="s">
        <v>1</v>
      </c>
      <c r="C9" s="2">
        <v>-442.27791394000002</v>
      </c>
      <c r="D9" s="2">
        <v>0.133599</v>
      </c>
      <c r="E9" s="2">
        <f t="shared" ref="E9:E19" si="1">C9+D9</f>
        <v>-442.14431494000002</v>
      </c>
    </row>
    <row r="10" spans="2:6" x14ac:dyDescent="0.2">
      <c r="B10" s="1" t="s">
        <v>4</v>
      </c>
      <c r="C10" s="2">
        <v>-441.10825886999999</v>
      </c>
      <c r="D10" s="2">
        <v>8.2822000000000007E-2</v>
      </c>
      <c r="E10" s="2">
        <f t="shared" si="1"/>
        <v>-441.02543686999996</v>
      </c>
      <c r="F10" s="4"/>
    </row>
    <row r="11" spans="2:6" x14ac:dyDescent="0.2">
      <c r="B11" s="1" t="s">
        <v>5</v>
      </c>
      <c r="C11" s="2">
        <v>-442.28015813000002</v>
      </c>
      <c r="D11" s="2">
        <v>0.133599</v>
      </c>
      <c r="E11" s="2">
        <f t="shared" si="1"/>
        <v>-442.14655913000001</v>
      </c>
      <c r="F11" s="4" t="s">
        <v>40</v>
      </c>
    </row>
    <row r="13" spans="2:6" x14ac:dyDescent="0.2">
      <c r="B13" s="1" t="s">
        <v>2</v>
      </c>
      <c r="C13" s="2">
        <v>-444.60191854999999</v>
      </c>
      <c r="D13" s="2">
        <v>0.34287400000000001</v>
      </c>
      <c r="E13" s="2">
        <f t="shared" si="1"/>
        <v>-444.25904455</v>
      </c>
    </row>
    <row r="14" spans="2:6" x14ac:dyDescent="0.2">
      <c r="B14" s="1" t="s">
        <v>3</v>
      </c>
      <c r="C14" s="2">
        <v>-445.36159655</v>
      </c>
      <c r="D14" s="2">
        <v>0.40847699999999998</v>
      </c>
      <c r="E14" s="2">
        <f t="shared" si="1"/>
        <v>-444.95311955</v>
      </c>
    </row>
    <row r="16" spans="2:6" x14ac:dyDescent="0.2">
      <c r="B16" s="1" t="s">
        <v>6</v>
      </c>
      <c r="C16" s="2">
        <v>-433.67389464000001</v>
      </c>
      <c r="D16" s="2">
        <v>3.0974999999999999E-2</v>
      </c>
      <c r="E16" s="2">
        <f t="shared" si="1"/>
        <v>-433.64291964</v>
      </c>
    </row>
    <row r="18" spans="2:6" x14ac:dyDescent="0.2">
      <c r="B18" s="1" t="s">
        <v>7</v>
      </c>
      <c r="C18" s="2">
        <v>-449.03744560000001</v>
      </c>
      <c r="D18" s="2">
        <v>0.71256600000000003</v>
      </c>
      <c r="E18" s="2">
        <f t="shared" si="1"/>
        <v>-448.32487960000003</v>
      </c>
    </row>
    <row r="19" spans="2:6" x14ac:dyDescent="0.2">
      <c r="B19" s="1" t="s">
        <v>20</v>
      </c>
      <c r="C19" s="2">
        <v>-448.72899416000001</v>
      </c>
      <c r="D19" s="2">
        <v>0.69053299999999995</v>
      </c>
      <c r="E19" s="2">
        <f t="shared" si="1"/>
        <v>-448.03846116</v>
      </c>
      <c r="F19" s="3" t="s">
        <v>21</v>
      </c>
    </row>
    <row r="21" spans="2:6" x14ac:dyDescent="0.2">
      <c r="B21" s="1" t="s">
        <v>8</v>
      </c>
      <c r="C21" s="2">
        <v>-449.24779195999997</v>
      </c>
      <c r="D21" s="2">
        <v>0.71390299999999995</v>
      </c>
      <c r="E21" s="2">
        <f>C21+D21</f>
        <v>-448.53388895999996</v>
      </c>
    </row>
    <row r="23" spans="2:6" x14ac:dyDescent="0.2">
      <c r="B23" s="1" t="s">
        <v>9</v>
      </c>
      <c r="C23" s="2">
        <v>-453.30946884999997</v>
      </c>
      <c r="D23" s="2">
        <v>1.036959</v>
      </c>
      <c r="E23" s="2">
        <f>C23+D23</f>
        <v>-452.27250984999995</v>
      </c>
    </row>
    <row r="24" spans="2:6" x14ac:dyDescent="0.2">
      <c r="B24" s="1" t="s">
        <v>22</v>
      </c>
      <c r="C24" s="2">
        <v>-453.31022346999998</v>
      </c>
      <c r="D24" s="2">
        <v>1.017611</v>
      </c>
      <c r="E24" s="2">
        <f>C24+D24</f>
        <v>-452.29261246999999</v>
      </c>
      <c r="F24" s="3" t="s">
        <v>23</v>
      </c>
    </row>
    <row r="25" spans="2:6" x14ac:dyDescent="0.2">
      <c r="B25" s="1" t="s">
        <v>13</v>
      </c>
      <c r="C25" s="2">
        <v>-452.55215621000002</v>
      </c>
      <c r="D25" s="2">
        <v>1.014988</v>
      </c>
      <c r="E25" s="2">
        <f>C25+D25</f>
        <v>-451.53716821</v>
      </c>
    </row>
    <row r="27" spans="2:6" x14ac:dyDescent="0.2">
      <c r="B27" s="1" t="s">
        <v>11</v>
      </c>
      <c r="C27" s="2">
        <v>-438.45168926000002</v>
      </c>
      <c r="D27" s="2">
        <v>0.280638</v>
      </c>
      <c r="E27" s="2">
        <f>C27+D27</f>
        <v>-438.17105126000001</v>
      </c>
    </row>
    <row r="29" spans="2:6" x14ac:dyDescent="0.2">
      <c r="B29" s="1" t="s">
        <v>10</v>
      </c>
      <c r="C29" s="2">
        <v>-443.71070607000001</v>
      </c>
      <c r="D29" s="2">
        <v>0.60931900000000006</v>
      </c>
      <c r="E29" s="2">
        <f>C29+D29</f>
        <v>-443.10138706999999</v>
      </c>
    </row>
    <row r="31" spans="2:6" x14ac:dyDescent="0.2">
      <c r="B31" s="1" t="s">
        <v>12</v>
      </c>
      <c r="C31" s="2">
        <v>-448.31682461999998</v>
      </c>
      <c r="D31" s="2">
        <v>0.94234899999999999</v>
      </c>
      <c r="E31" s="2">
        <f>C31+D31</f>
        <v>-447.37447562</v>
      </c>
    </row>
    <row r="33" spans="2:9" x14ac:dyDescent="0.2">
      <c r="B33" s="1" t="s">
        <v>18</v>
      </c>
      <c r="C33" s="2">
        <v>-442.65291120000001</v>
      </c>
      <c r="D33" s="2">
        <v>0.59233400000000003</v>
      </c>
      <c r="E33" s="2">
        <f>C33+D33</f>
        <v>-442.06057720000001</v>
      </c>
    </row>
    <row r="34" spans="2:9" x14ac:dyDescent="0.2">
      <c r="B34" s="1" t="s">
        <v>19</v>
      </c>
      <c r="C34" s="2">
        <v>-431.71385334000001</v>
      </c>
      <c r="D34" s="2">
        <v>0.19859399999999999</v>
      </c>
      <c r="E34" s="2">
        <f>C34+D34</f>
        <v>-431.51525934</v>
      </c>
    </row>
    <row r="37" spans="2:9" x14ac:dyDescent="0.2">
      <c r="B37" s="1" t="s">
        <v>25</v>
      </c>
      <c r="C37" s="5">
        <f>E9-E7-E2</f>
        <v>-1.4817708599999886</v>
      </c>
      <c r="D37" s="2">
        <f>C37</f>
        <v>-1.4817708599999886</v>
      </c>
      <c r="F37" s="2">
        <f>D37</f>
        <v>-1.4817708599999886</v>
      </c>
      <c r="H37" s="2">
        <f>F37</f>
        <v>-1.4817708599999886</v>
      </c>
    </row>
    <row r="38" spans="2:9" x14ac:dyDescent="0.2">
      <c r="B38" s="1" t="s">
        <v>24</v>
      </c>
      <c r="C38" s="2">
        <f>E13-E1-E9</f>
        <v>1.2885552700000176</v>
      </c>
    </row>
    <row r="39" spans="2:9" x14ac:dyDescent="0.2">
      <c r="B39" s="1" t="s">
        <v>27</v>
      </c>
      <c r="C39" s="5">
        <f>E14-E1-E9</f>
        <v>0.59448027000001957</v>
      </c>
      <c r="D39" s="2">
        <f>C39+D37</f>
        <v>-0.88729058999996901</v>
      </c>
      <c r="F39" s="2">
        <f>D39-0.4</f>
        <v>-1.2872905899999689</v>
      </c>
      <c r="H39" s="2">
        <f>D39-0.8</f>
        <v>-1.6872905899999691</v>
      </c>
    </row>
    <row r="40" spans="2:9" x14ac:dyDescent="0.2">
      <c r="B40" s="1" t="s">
        <v>39</v>
      </c>
      <c r="C40" s="2">
        <f>E16+E3-E1-E14</f>
        <v>0.58209128999999393</v>
      </c>
    </row>
    <row r="41" spans="2:9" x14ac:dyDescent="0.2">
      <c r="B41" s="1" t="s">
        <v>28</v>
      </c>
      <c r="C41" s="5">
        <f>E21-E14-E1</f>
        <v>-0.17748452999995923</v>
      </c>
      <c r="D41" s="2">
        <f>D39+C41</f>
        <v>-1.0647751199999282</v>
      </c>
      <c r="F41" s="2">
        <f>D41-0.8</f>
        <v>-1.8647751199999283</v>
      </c>
      <c r="H41" s="2">
        <f>D41-1.6</f>
        <v>-2.6647751199999283</v>
      </c>
    </row>
    <row r="42" spans="2:9" x14ac:dyDescent="0.2">
      <c r="B42" s="1" t="s">
        <v>29</v>
      </c>
      <c r="C42" s="2">
        <f>E18-E1-E14</f>
        <v>3.1524829999966641E-2</v>
      </c>
    </row>
    <row r="43" spans="2:9" x14ac:dyDescent="0.2">
      <c r="B43" s="1" t="s">
        <v>30</v>
      </c>
      <c r="C43" s="5">
        <f>E24-E1-E21</f>
        <v>-0.35543863000003739</v>
      </c>
      <c r="D43" s="2">
        <f>D41+C43</f>
        <v>-1.4202137499999656</v>
      </c>
      <c r="F43" s="2">
        <f>D43-1.2</f>
        <v>-2.6202137499999658</v>
      </c>
      <c r="H43" s="2">
        <f>D43-2.4</f>
        <v>-3.8202137499999655</v>
      </c>
    </row>
    <row r="44" spans="2:9" x14ac:dyDescent="0.2">
      <c r="B44" s="1" t="s">
        <v>32</v>
      </c>
      <c r="C44" s="6">
        <f>F4-E24</f>
        <v>0.17514933999996174</v>
      </c>
      <c r="E44" s="2">
        <f>D43+C44</f>
        <v>-1.2450644100000039</v>
      </c>
      <c r="G44" s="2">
        <f>F43+C44</f>
        <v>-2.4450644100000041</v>
      </c>
      <c r="I44" s="2">
        <f>H43+C44</f>
        <v>-3.6450644100000038</v>
      </c>
    </row>
    <row r="45" spans="2:9" x14ac:dyDescent="0.2">
      <c r="B45" s="1" t="s">
        <v>33</v>
      </c>
      <c r="C45" s="5">
        <f>E29+E3-E1-E24</f>
        <v>-1.5368832199999929</v>
      </c>
      <c r="D45" s="2">
        <f>D43+C45</f>
        <v>-2.9570969699999585</v>
      </c>
      <c r="F45" s="2">
        <f>D45-1.6</f>
        <v>-4.5570969699999591</v>
      </c>
      <c r="H45" s="2">
        <f>D45-3.2</f>
        <v>-6.1570969699999587</v>
      </c>
    </row>
    <row r="46" spans="2:9" x14ac:dyDescent="0.2">
      <c r="B46" s="1" t="s">
        <v>34</v>
      </c>
      <c r="C46" s="5">
        <f>E31-E29-E1</f>
        <v>-0.86980367000001113</v>
      </c>
      <c r="D46" s="2">
        <f>D45+C46</f>
        <v>-3.8269006399999697</v>
      </c>
      <c r="F46" s="2">
        <f>D46-2</f>
        <v>-5.8269006399999697</v>
      </c>
      <c r="H46" s="2">
        <f>D46-4</f>
        <v>-7.8269006399999697</v>
      </c>
    </row>
    <row r="50" spans="2:3" x14ac:dyDescent="0.2">
      <c r="B50" s="1" t="s">
        <v>37</v>
      </c>
      <c r="C50" s="2">
        <f>E33-E7-E3</f>
        <v>0.34359510000001414</v>
      </c>
    </row>
    <row r="51" spans="2:3" x14ac:dyDescent="0.2">
      <c r="B51" s="1" t="s">
        <v>38</v>
      </c>
      <c r="C51" s="2">
        <f>E34-E7-E1</f>
        <v>0.16080434000002608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81E3-7455-4E5B-A3B9-6228C4153FDB}">
  <dimension ref="A1:AP548"/>
  <sheetViews>
    <sheetView tabSelected="1" zoomScaleNormal="100" workbookViewId="0">
      <selection activeCell="K111" sqref="K111"/>
    </sheetView>
  </sheetViews>
  <sheetFormatPr defaultRowHeight="14.25" x14ac:dyDescent="0.2"/>
  <cols>
    <col min="1" max="1" width="12.75" style="7" customWidth="1"/>
    <col min="2" max="2" width="13.5" style="7" customWidth="1"/>
    <col min="3" max="3" width="10.375" style="7" customWidth="1"/>
    <col min="4" max="5" width="9" style="7"/>
    <col min="6" max="6" width="12.625" style="7" customWidth="1"/>
    <col min="7" max="7" width="10.75" style="7" customWidth="1"/>
    <col min="8" max="16384" width="9" style="7"/>
  </cols>
  <sheetData>
    <row r="1" spans="1:4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">
      <c r="A3" s="1"/>
      <c r="B3" s="1" t="s">
        <v>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x14ac:dyDescent="0.2">
      <c r="A4" s="1"/>
      <c r="B4" s="1"/>
      <c r="C4" s="1"/>
      <c r="D4" s="1"/>
      <c r="E4" s="1"/>
      <c r="F4" s="1"/>
      <c r="G4" s="1"/>
      <c r="H4" s="1" t="s">
        <v>52</v>
      </c>
      <c r="I4" s="1"/>
      <c r="J4" s="1"/>
      <c r="K4" s="1"/>
      <c r="L4" s="1"/>
      <c r="M4" s="15" t="s">
        <v>59</v>
      </c>
      <c r="N4" s="15"/>
      <c r="O4" s="15"/>
      <c r="P4" s="15" t="s">
        <v>61</v>
      </c>
      <c r="Q4" s="15"/>
      <c r="R4" s="15"/>
      <c r="S4" s="1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x14ac:dyDescent="0.2">
      <c r="A5" s="1" t="s">
        <v>41</v>
      </c>
      <c r="B5" s="1"/>
      <c r="C5" s="1" t="s">
        <v>42</v>
      </c>
      <c r="D5" s="1"/>
      <c r="E5" s="1"/>
      <c r="F5" s="1"/>
      <c r="G5" s="1" t="s">
        <v>51</v>
      </c>
      <c r="H5" s="15" t="s">
        <v>53</v>
      </c>
      <c r="I5" s="15"/>
      <c r="J5" s="15"/>
      <c r="K5" s="1"/>
      <c r="L5" s="1"/>
      <c r="M5" s="15" t="s">
        <v>60</v>
      </c>
      <c r="N5" s="15"/>
      <c r="O5" s="1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x14ac:dyDescent="0.2">
      <c r="A6" s="1"/>
      <c r="B6" s="8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/>
      <c r="K6" s="1"/>
      <c r="L6" s="1"/>
      <c r="M6" s="1" t="s">
        <v>54</v>
      </c>
      <c r="N6" s="1" t="s">
        <v>55</v>
      </c>
      <c r="O6" s="1" t="s">
        <v>56</v>
      </c>
      <c r="P6" s="1" t="s">
        <v>62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">
      <c r="A7" s="1"/>
      <c r="B7" s="1"/>
      <c r="C7" s="1">
        <v>-1</v>
      </c>
      <c r="D7" s="1">
        <v>-423.97208355999999</v>
      </c>
      <c r="E7" s="1">
        <v>-4.8708999999999998</v>
      </c>
      <c r="F7" s="1">
        <v>8.6999999999999994E-2</v>
      </c>
      <c r="G7" s="1">
        <f>-E7-F7</f>
        <v>4.7839</v>
      </c>
      <c r="H7" s="1">
        <f>G7-4.7</f>
        <v>8.3899999999999864E-2</v>
      </c>
      <c r="I7" s="1">
        <f>D7-C7*E7</f>
        <v>-428.84298355999999</v>
      </c>
      <c r="J7" s="1"/>
      <c r="K7" s="1"/>
      <c r="L7" s="1"/>
      <c r="M7" s="1">
        <v>-0.5151</v>
      </c>
      <c r="N7" s="1">
        <v>-0.75990000000000002</v>
      </c>
      <c r="O7" s="1">
        <v>-428.79</v>
      </c>
      <c r="P7" s="1">
        <v>0.98899999999999999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">
      <c r="A8" s="1"/>
      <c r="B8" s="1"/>
      <c r="C8" s="1">
        <v>-0.5</v>
      </c>
      <c r="D8" s="1">
        <v>-426.37640789</v>
      </c>
      <c r="E8" s="1">
        <v>-4.4564000000000004</v>
      </c>
      <c r="F8" s="1">
        <v>8.6999999999999994E-2</v>
      </c>
      <c r="G8" s="1">
        <f t="shared" ref="G8:G11" si="0">-E8-F8</f>
        <v>4.3694000000000006</v>
      </c>
      <c r="H8" s="1">
        <f t="shared" ref="H8:H11" si="1">G8-4.7</f>
        <v>-0.33059999999999956</v>
      </c>
      <c r="I8" s="1">
        <f t="shared" ref="I8:I19" si="2">D8-C8*E8</f>
        <v>-428.60460789000001</v>
      </c>
      <c r="J8" s="1"/>
      <c r="K8" s="1"/>
      <c r="L8" s="1"/>
      <c r="M8" s="9" t="s">
        <v>57</v>
      </c>
      <c r="N8" s="9" t="s">
        <v>64</v>
      </c>
      <c r="O8" s="9" t="s">
        <v>63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">
      <c r="A9" s="1">
        <v>197</v>
      </c>
      <c r="B9" s="1"/>
      <c r="C9" s="1">
        <v>0</v>
      </c>
      <c r="D9" s="1">
        <v>-428.52251036000001</v>
      </c>
      <c r="E9" s="1">
        <v>-4.1067</v>
      </c>
      <c r="F9" s="1">
        <v>8.6999999999999994E-2</v>
      </c>
      <c r="G9" s="1">
        <f t="shared" si="0"/>
        <v>4.0197000000000003</v>
      </c>
      <c r="H9" s="9">
        <f t="shared" si="1"/>
        <v>-0.6802999999999999</v>
      </c>
      <c r="I9" s="1">
        <f t="shared" si="2"/>
        <v>-428.52251036000001</v>
      </c>
      <c r="J9" s="1"/>
      <c r="K9" s="1"/>
      <c r="L9" s="1"/>
      <c r="M9" s="10">
        <v>1.0302</v>
      </c>
      <c r="N9" s="10">
        <v>-0.73762399999999995</v>
      </c>
      <c r="O9" s="10">
        <v>429.07026000000002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2">
      <c r="A10" s="1"/>
      <c r="B10" s="1"/>
      <c r="C10" s="1">
        <v>0.5</v>
      </c>
      <c r="D10" s="1">
        <v>-430.38328263</v>
      </c>
      <c r="E10" s="1">
        <v>-3.6703000000000001</v>
      </c>
      <c r="F10" s="1">
        <v>8.6999999999999994E-2</v>
      </c>
      <c r="G10" s="1">
        <f t="shared" si="0"/>
        <v>3.5832999999999999</v>
      </c>
      <c r="H10" s="1">
        <f t="shared" si="1"/>
        <v>-1.1167000000000002</v>
      </c>
      <c r="I10" s="1">
        <f t="shared" si="2"/>
        <v>-428.54813263</v>
      </c>
      <c r="J10" s="1"/>
      <c r="K10" s="1"/>
      <c r="L10" s="1"/>
      <c r="M10" s="1">
        <v>-0.4</v>
      </c>
      <c r="N10" s="1">
        <v>-0.8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2">
      <c r="A11" s="1"/>
      <c r="B11" s="1"/>
      <c r="C11" s="1">
        <v>1</v>
      </c>
      <c r="D11" s="1">
        <v>-432.08659203000002</v>
      </c>
      <c r="E11" s="1">
        <v>-3.1816</v>
      </c>
      <c r="F11" s="1">
        <v>8.6999999999999994E-2</v>
      </c>
      <c r="G11" s="1">
        <f t="shared" si="0"/>
        <v>3.0945999999999998</v>
      </c>
      <c r="H11" s="1">
        <f t="shared" si="1"/>
        <v>-1.6054000000000004</v>
      </c>
      <c r="I11" s="1">
        <f t="shared" si="2"/>
        <v>-428.90499203000002</v>
      </c>
      <c r="J11" s="1"/>
      <c r="K11" s="1"/>
      <c r="L11" s="1"/>
      <c r="M11" s="11">
        <v>-428.56404199999997</v>
      </c>
      <c r="N11" s="11">
        <v>-428.50733600000001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x14ac:dyDescent="0.2">
      <c r="A14" s="1"/>
      <c r="B14" s="8" t="s">
        <v>65</v>
      </c>
      <c r="C14" s="11" t="s">
        <v>44</v>
      </c>
      <c r="D14" s="11" t="s">
        <v>45</v>
      </c>
      <c r="E14" s="11" t="s">
        <v>46</v>
      </c>
      <c r="F14" s="11" t="s">
        <v>47</v>
      </c>
      <c r="G14" s="11" t="s">
        <v>48</v>
      </c>
      <c r="H14" s="11" t="s">
        <v>49</v>
      </c>
      <c r="I14" s="11" t="s">
        <v>50</v>
      </c>
      <c r="J14" s="1"/>
      <c r="K14" s="1"/>
      <c r="L14" s="1"/>
      <c r="M14" s="15" t="s">
        <v>59</v>
      </c>
      <c r="N14" s="15"/>
      <c r="O14" s="15"/>
      <c r="P14" s="15" t="s">
        <v>61</v>
      </c>
      <c r="Q14" s="15"/>
      <c r="R14" s="15"/>
      <c r="S14" s="15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x14ac:dyDescent="0.2">
      <c r="A15" s="1"/>
      <c r="B15" s="1"/>
      <c r="C15" s="10">
        <v>-1</v>
      </c>
      <c r="D15" s="11">
        <v>-427.55195767999999</v>
      </c>
      <c r="E15" s="11">
        <v>-4.7218999999999998</v>
      </c>
      <c r="F15" s="11">
        <v>0.109</v>
      </c>
      <c r="G15" s="1">
        <f>-E15-F15</f>
        <v>4.6128999999999998</v>
      </c>
      <c r="H15" s="1">
        <f>G15-4.7</f>
        <v>-8.7100000000000399E-2</v>
      </c>
      <c r="I15" s="11">
        <f>D15-C15*E15</f>
        <v>-432.27385767999999</v>
      </c>
      <c r="J15" s="1"/>
      <c r="K15" s="1"/>
      <c r="L15" s="1"/>
      <c r="M15" s="15" t="s">
        <v>60</v>
      </c>
      <c r="N15" s="15"/>
      <c r="O15" s="15"/>
      <c r="Q15" s="11"/>
      <c r="R15" s="11"/>
      <c r="S15" s="1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x14ac:dyDescent="0.2">
      <c r="A16" s="1"/>
      <c r="B16" s="1"/>
      <c r="C16" s="10">
        <v>-0.5</v>
      </c>
      <c r="D16" s="11">
        <v>-429.84982948999999</v>
      </c>
      <c r="E16" s="11">
        <v>-4.4622000000000002</v>
      </c>
      <c r="F16" s="11">
        <v>0.109</v>
      </c>
      <c r="G16" s="11">
        <f t="shared" ref="G16:G19" si="3">-E16-F16</f>
        <v>4.3532000000000002</v>
      </c>
      <c r="H16" s="11">
        <f t="shared" ref="H16:H19" si="4">G16-4.7</f>
        <v>-0.3468</v>
      </c>
      <c r="I16" s="11">
        <f t="shared" si="2"/>
        <v>-432.08092949000002</v>
      </c>
      <c r="J16" s="1"/>
      <c r="K16" s="1"/>
      <c r="L16" s="1"/>
      <c r="M16" s="11" t="s">
        <v>54</v>
      </c>
      <c r="N16" s="11" t="s">
        <v>55</v>
      </c>
      <c r="O16" s="11" t="s">
        <v>56</v>
      </c>
      <c r="P16" s="11" t="s">
        <v>62</v>
      </c>
      <c r="Q16" s="11"/>
      <c r="R16" s="11"/>
      <c r="S16" s="1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">
      <c r="A17" s="1"/>
      <c r="B17" s="1"/>
      <c r="C17" s="10">
        <v>0</v>
      </c>
      <c r="D17" s="11">
        <v>-431.96340167</v>
      </c>
      <c r="E17" s="11">
        <v>-3.9245000000000001</v>
      </c>
      <c r="F17" s="11">
        <v>0.109</v>
      </c>
      <c r="G17" s="11">
        <f t="shared" si="3"/>
        <v>3.8155000000000001</v>
      </c>
      <c r="H17" s="11">
        <f t="shared" si="4"/>
        <v>-0.88450000000000006</v>
      </c>
      <c r="I17" s="11">
        <f t="shared" si="2"/>
        <v>-431.96340167</v>
      </c>
      <c r="J17" s="1"/>
      <c r="K17" s="1"/>
      <c r="L17" s="1"/>
      <c r="M17" s="11">
        <v>-0.42270000000000002</v>
      </c>
      <c r="N17" s="11">
        <v>-0.78810000000000002</v>
      </c>
      <c r="O17" s="11">
        <v>-432.32499999999999</v>
      </c>
      <c r="P17" s="11"/>
      <c r="Q17" s="11"/>
      <c r="R17" s="11"/>
      <c r="S17" s="1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2">
      <c r="A18" s="1"/>
      <c r="B18" s="1"/>
      <c r="C18" s="10">
        <v>0.5</v>
      </c>
      <c r="D18" s="11">
        <v>-433.76570557999997</v>
      </c>
      <c r="E18" s="11">
        <v>-3.1432000000000002</v>
      </c>
      <c r="F18" s="11">
        <v>0.109</v>
      </c>
      <c r="G18" s="11">
        <f t="shared" si="3"/>
        <v>3.0342000000000002</v>
      </c>
      <c r="H18" s="11">
        <f t="shared" si="4"/>
        <v>-1.6657999999999999</v>
      </c>
      <c r="I18" s="11">
        <f t="shared" si="2"/>
        <v>-432.19410557999998</v>
      </c>
      <c r="J18" s="1"/>
      <c r="K18" s="1"/>
      <c r="L18" s="1"/>
      <c r="M18" s="9" t="s">
        <v>57</v>
      </c>
      <c r="N18" s="9" t="s">
        <v>64</v>
      </c>
      <c r="O18" s="9" t="s">
        <v>63</v>
      </c>
      <c r="P18" s="11"/>
      <c r="Q18" s="11"/>
      <c r="R18" s="11"/>
      <c r="S18" s="1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2">
      <c r="A19" s="1"/>
      <c r="B19" s="1"/>
      <c r="C19" s="10">
        <v>1</v>
      </c>
      <c r="D19" s="11">
        <v>-435.23980581000001</v>
      </c>
      <c r="E19" s="11">
        <v>-2.7766999999999999</v>
      </c>
      <c r="F19" s="11">
        <v>0.109</v>
      </c>
      <c r="G19" s="11">
        <f t="shared" si="3"/>
        <v>2.6677</v>
      </c>
      <c r="H19" s="11">
        <f t="shared" si="4"/>
        <v>-2.0323000000000002</v>
      </c>
      <c r="I19" s="11">
        <f t="shared" si="2"/>
        <v>-432.46310581</v>
      </c>
      <c r="J19" s="1"/>
      <c r="K19" s="1"/>
      <c r="L19" s="1"/>
      <c r="M19" s="11">
        <v>0.84547499999999998</v>
      </c>
      <c r="N19" s="11">
        <v>-0.93215199999999998</v>
      </c>
      <c r="O19" s="11">
        <v>-431.95770599999997</v>
      </c>
      <c r="P19" s="11"/>
      <c r="Q19" s="11"/>
      <c r="R19" s="11"/>
      <c r="S19" s="1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1">
        <v>-0.4</v>
      </c>
      <c r="N20" s="11">
        <v>-0.8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v>-432.07741900000002</v>
      </c>
      <c r="N21" s="11">
        <v>-431.96508899999998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x14ac:dyDescent="0.2">
      <c r="A22" s="1"/>
      <c r="B22" s="8" t="s">
        <v>31</v>
      </c>
      <c r="C22" s="11" t="s">
        <v>44</v>
      </c>
      <c r="D22" s="11" t="s">
        <v>45</v>
      </c>
      <c r="E22" s="11" t="s">
        <v>46</v>
      </c>
      <c r="F22" s="11" t="s">
        <v>47</v>
      </c>
      <c r="G22" s="11" t="s">
        <v>48</v>
      </c>
      <c r="H22" s="11" t="s">
        <v>49</v>
      </c>
      <c r="I22" s="11" t="s">
        <v>50</v>
      </c>
      <c r="J22" s="1"/>
      <c r="K22" s="1"/>
      <c r="L22" s="1"/>
      <c r="M22" s="15" t="s">
        <v>59</v>
      </c>
      <c r="N22" s="15"/>
      <c r="O22" s="15"/>
      <c r="P22" s="15" t="s">
        <v>61</v>
      </c>
      <c r="Q22" s="15"/>
      <c r="R22" s="15"/>
      <c r="S22" s="1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x14ac:dyDescent="0.2">
      <c r="A23" s="1"/>
      <c r="B23" s="1"/>
      <c r="C23" s="11">
        <v>-1</v>
      </c>
      <c r="D23" s="11">
        <v>-439.08467882999997</v>
      </c>
      <c r="E23" s="11">
        <v>-4.5247000000000002</v>
      </c>
      <c r="F23" s="11">
        <v>7.4999999999999997E-2</v>
      </c>
      <c r="G23" s="11">
        <f>-E23-F23</f>
        <v>4.4497</v>
      </c>
      <c r="H23" s="11">
        <f>G23-4.7</f>
        <v>-0.25030000000000019</v>
      </c>
      <c r="I23" s="11">
        <f>D23-C23*E23</f>
        <v>-443.60937882999997</v>
      </c>
      <c r="J23" s="1"/>
      <c r="K23" s="1"/>
      <c r="L23" s="1"/>
      <c r="M23" s="15" t="s">
        <v>60</v>
      </c>
      <c r="N23" s="15"/>
      <c r="O23" s="15"/>
      <c r="Q23" s="11"/>
      <c r="R23" s="11"/>
      <c r="S23" s="1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x14ac:dyDescent="0.2">
      <c r="A24" s="1"/>
      <c r="B24" s="1"/>
      <c r="C24" s="11">
        <v>-0.5</v>
      </c>
      <c r="D24" s="11">
        <v>-441.26509442000003</v>
      </c>
      <c r="E24" s="11">
        <v>-4.1399999999999997</v>
      </c>
      <c r="F24" s="11">
        <v>7.4999999999999997E-2</v>
      </c>
      <c r="G24" s="11">
        <f t="shared" ref="G24:G27" si="5">-E24-F24</f>
        <v>4.0649999999999995</v>
      </c>
      <c r="H24" s="11">
        <f t="shared" ref="H24:H27" si="6">G24-4.7</f>
        <v>-0.63500000000000068</v>
      </c>
      <c r="I24" s="11">
        <f t="shared" ref="I24:I27" si="7">D24-C24*E24</f>
        <v>-443.33509442000002</v>
      </c>
      <c r="J24" s="1"/>
      <c r="K24" s="1"/>
      <c r="L24" s="1"/>
      <c r="M24" s="11" t="s">
        <v>54</v>
      </c>
      <c r="N24" s="11" t="s">
        <v>55</v>
      </c>
      <c r="O24" s="11" t="s">
        <v>56</v>
      </c>
      <c r="P24" s="11" t="s">
        <v>62</v>
      </c>
      <c r="Q24" s="11"/>
      <c r="R24" s="11"/>
      <c r="S24" s="1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">
      <c r="A25" s="1"/>
      <c r="B25" s="1"/>
      <c r="C25" s="11">
        <v>0</v>
      </c>
      <c r="D25" s="11">
        <v>-443.25757986999997</v>
      </c>
      <c r="E25" s="11">
        <v>-3.7206999999999999</v>
      </c>
      <c r="F25" s="11">
        <v>7.4999999999999997E-2</v>
      </c>
      <c r="G25" s="11">
        <f t="shared" si="5"/>
        <v>3.6456999999999997</v>
      </c>
      <c r="H25" s="11">
        <f t="shared" si="6"/>
        <v>-1.0543000000000005</v>
      </c>
      <c r="I25" s="11">
        <f t="shared" si="7"/>
        <v>-443.25757986999997</v>
      </c>
      <c r="J25" s="1"/>
      <c r="K25" s="1"/>
      <c r="L25" s="1"/>
      <c r="M25" s="11">
        <v>-0.49209999999999998</v>
      </c>
      <c r="N25" s="11">
        <v>-1.0851</v>
      </c>
      <c r="O25" s="11">
        <v>-443.84300000000002</v>
      </c>
      <c r="P25" s="11"/>
      <c r="Q25" s="11"/>
      <c r="R25" s="11"/>
      <c r="S25" s="1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">
      <c r="A26" s="1"/>
      <c r="B26" s="1"/>
      <c r="C26" s="11">
        <v>0.5</v>
      </c>
      <c r="D26" s="11">
        <v>-444.95790127999999</v>
      </c>
      <c r="E26" s="11">
        <v>-3.0806</v>
      </c>
      <c r="F26" s="11">
        <v>7.4999999999999997E-2</v>
      </c>
      <c r="G26" s="11">
        <f t="shared" si="5"/>
        <v>3.0055999999999998</v>
      </c>
      <c r="H26" s="11">
        <f t="shared" si="6"/>
        <v>-1.6944000000000004</v>
      </c>
      <c r="I26" s="11">
        <f t="shared" si="7"/>
        <v>-443.41760127999999</v>
      </c>
      <c r="J26" s="1"/>
      <c r="K26" s="1"/>
      <c r="L26" s="1"/>
      <c r="M26" s="9" t="s">
        <v>57</v>
      </c>
      <c r="N26" s="9" t="s">
        <v>64</v>
      </c>
      <c r="O26" s="9" t="s">
        <v>63</v>
      </c>
      <c r="P26" s="11"/>
      <c r="Q26" s="11"/>
      <c r="R26" s="11"/>
      <c r="S26" s="1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A27" s="1"/>
      <c r="B27" s="1"/>
      <c r="C27" s="11">
        <v>1</v>
      </c>
      <c r="D27" s="11">
        <v>-446.41130205000002</v>
      </c>
      <c r="E27" s="11">
        <v>-2.7444999999999999</v>
      </c>
      <c r="F27" s="11">
        <v>7.4999999999999997E-2</v>
      </c>
      <c r="G27" s="11">
        <f t="shared" si="5"/>
        <v>2.6694999999999998</v>
      </c>
      <c r="H27" s="11">
        <f t="shared" si="6"/>
        <v>-2.0305000000000004</v>
      </c>
      <c r="I27" s="11">
        <f t="shared" si="7"/>
        <v>-443.66680205</v>
      </c>
      <c r="J27" s="1"/>
      <c r="K27" s="1"/>
      <c r="L27" s="1"/>
      <c r="M27" s="11"/>
      <c r="N27" s="11"/>
      <c r="O27" s="11"/>
      <c r="P27" s="11"/>
      <c r="Q27" s="11"/>
      <c r="R27" s="11"/>
      <c r="S27" s="1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1">
        <v>-0.4</v>
      </c>
      <c r="N28" s="11">
        <v>-0.8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1">
        <v>-443.48771099999999</v>
      </c>
      <c r="N29" s="11">
        <v>-443.28987100000001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x14ac:dyDescent="0.2">
      <c r="A30" s="1"/>
      <c r="B30" s="8" t="s">
        <v>66</v>
      </c>
      <c r="C30" s="11" t="s">
        <v>44</v>
      </c>
      <c r="D30" s="11" t="s">
        <v>45</v>
      </c>
      <c r="E30" s="11" t="s">
        <v>46</v>
      </c>
      <c r="F30" s="11" t="s">
        <v>47</v>
      </c>
      <c r="G30" s="11" t="s">
        <v>48</v>
      </c>
      <c r="H30" s="11" t="s">
        <v>49</v>
      </c>
      <c r="I30" s="11" t="s">
        <v>50</v>
      </c>
      <c r="J30" s="1"/>
      <c r="K30" s="1"/>
      <c r="L30" s="1"/>
      <c r="M30" s="15" t="s">
        <v>59</v>
      </c>
      <c r="N30" s="15"/>
      <c r="O30" s="15"/>
      <c r="P30" s="15" t="s">
        <v>61</v>
      </c>
      <c r="Q30" s="15"/>
      <c r="R30" s="15"/>
      <c r="S30" s="1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x14ac:dyDescent="0.2">
      <c r="A31" s="1"/>
      <c r="B31" s="11"/>
      <c r="C31" s="11">
        <v>-1</v>
      </c>
      <c r="D31" s="11">
        <v>-429.52292892000003</v>
      </c>
      <c r="E31" s="11">
        <v>-4.9074</v>
      </c>
      <c r="F31" s="11">
        <v>0.13</v>
      </c>
      <c r="G31" s="11">
        <f>-E31-F31</f>
        <v>4.7774000000000001</v>
      </c>
      <c r="H31" s="11">
        <f>G31-4.7</f>
        <v>7.7399999999999913E-2</v>
      </c>
      <c r="I31" s="11">
        <f>D31-C31*E31</f>
        <v>-434.43032892000002</v>
      </c>
      <c r="J31" s="1"/>
      <c r="K31" s="1"/>
      <c r="L31" s="1"/>
      <c r="M31" s="15" t="s">
        <v>60</v>
      </c>
      <c r="N31" s="15"/>
      <c r="O31" s="15"/>
      <c r="Q31" s="11"/>
      <c r="R31" s="11"/>
      <c r="S31" s="1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x14ac:dyDescent="0.2">
      <c r="A32" s="1"/>
      <c r="B32" s="11"/>
      <c r="C32" s="11">
        <v>-0.5</v>
      </c>
      <c r="D32" s="11">
        <v>-431.90327044000003</v>
      </c>
      <c r="E32" s="11">
        <v>-4.6162999999999998</v>
      </c>
      <c r="F32" s="11">
        <v>0.13</v>
      </c>
      <c r="G32" s="11">
        <f t="shared" ref="G32:G35" si="8">-E32-F32</f>
        <v>4.4863</v>
      </c>
      <c r="H32" s="11">
        <f t="shared" ref="H32:H35" si="9">G32-4.7</f>
        <v>-0.21370000000000022</v>
      </c>
      <c r="I32" s="11">
        <f t="shared" ref="I32:I35" si="10">D32-C32*E32</f>
        <v>-434.21142044000004</v>
      </c>
      <c r="J32" s="1"/>
      <c r="K32" s="1"/>
      <c r="L32" s="1"/>
      <c r="M32" s="11" t="s">
        <v>54</v>
      </c>
      <c r="N32" s="11" t="s">
        <v>55</v>
      </c>
      <c r="O32" s="11" t="s">
        <v>56</v>
      </c>
      <c r="P32" s="11" t="s">
        <v>62</v>
      </c>
      <c r="Q32" s="11"/>
      <c r="R32" s="11"/>
      <c r="S32" s="1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1"/>
      <c r="B33" s="11"/>
      <c r="C33" s="11">
        <v>0</v>
      </c>
      <c r="D33" s="11">
        <v>-434.10315871</v>
      </c>
      <c r="E33" s="11">
        <v>-4.1136999999999997</v>
      </c>
      <c r="F33" s="11">
        <v>0.13</v>
      </c>
      <c r="G33" s="11">
        <f t="shared" si="8"/>
        <v>3.9836999999999998</v>
      </c>
      <c r="H33" s="11">
        <f t="shared" si="9"/>
        <v>-0.71630000000000038</v>
      </c>
      <c r="I33" s="11">
        <f t="shared" si="10"/>
        <v>-434.10315871</v>
      </c>
      <c r="J33" s="1"/>
      <c r="K33" s="1"/>
      <c r="L33" s="1"/>
      <c r="M33" s="11">
        <v>-0.43719999999999998</v>
      </c>
      <c r="N33" s="11">
        <v>-0.68340000000000001</v>
      </c>
      <c r="O33" s="11">
        <v>-434.36079999999998</v>
      </c>
      <c r="P33" s="11"/>
      <c r="Q33" s="11"/>
      <c r="R33" s="11"/>
      <c r="S33" s="1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1"/>
      <c r="B34" s="11"/>
      <c r="C34" s="11">
        <v>0.5</v>
      </c>
      <c r="D34" s="11">
        <v>-435.99440521999998</v>
      </c>
      <c r="E34" s="11">
        <v>-3.3182</v>
      </c>
      <c r="F34" s="11">
        <v>0.13</v>
      </c>
      <c r="G34" s="11">
        <f t="shared" si="8"/>
        <v>3.1882000000000001</v>
      </c>
      <c r="H34" s="11">
        <f t="shared" si="9"/>
        <v>-1.5118</v>
      </c>
      <c r="I34" s="11">
        <f t="shared" si="10"/>
        <v>-434.33530521999995</v>
      </c>
      <c r="J34" s="1"/>
      <c r="K34" s="1"/>
      <c r="L34" s="1"/>
      <c r="M34" s="9" t="s">
        <v>57</v>
      </c>
      <c r="N34" s="9" t="s">
        <v>64</v>
      </c>
      <c r="O34" s="9" t="s">
        <v>63</v>
      </c>
      <c r="P34" s="11"/>
      <c r="Q34" s="11"/>
      <c r="R34" s="11"/>
      <c r="S34" s="1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1"/>
      <c r="B35" s="11"/>
      <c r="C35" s="11">
        <v>1</v>
      </c>
      <c r="D35" s="11">
        <v>-437.56695381999998</v>
      </c>
      <c r="E35" s="11">
        <v>-2.9851000000000001</v>
      </c>
      <c r="F35" s="11">
        <v>0.13</v>
      </c>
      <c r="G35" s="11">
        <f t="shared" si="8"/>
        <v>2.8551000000000002</v>
      </c>
      <c r="H35" s="11">
        <f t="shared" si="9"/>
        <v>-1.8449</v>
      </c>
      <c r="I35" s="11">
        <f t="shared" si="10"/>
        <v>-434.58185381999999</v>
      </c>
      <c r="J35" s="1"/>
      <c r="K35" s="1"/>
      <c r="L35" s="1"/>
      <c r="M35" s="11"/>
      <c r="N35" s="11"/>
      <c r="O35" s="11"/>
      <c r="P35" s="11"/>
      <c r="Q35" s="11"/>
      <c r="R35" s="11"/>
      <c r="S35" s="1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1">
        <v>-0.4</v>
      </c>
      <c r="N36" s="11">
        <v>-0.8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>
        <v>-434.15744699999999</v>
      </c>
      <c r="N37" s="1">
        <v>-434.09397100000001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.75" x14ac:dyDescent="0.2">
      <c r="A38" s="1"/>
      <c r="B38" s="8" t="s">
        <v>67</v>
      </c>
      <c r="C38" s="11" t="s">
        <v>44</v>
      </c>
      <c r="D38" s="11" t="s">
        <v>45</v>
      </c>
      <c r="E38" s="11" t="s">
        <v>46</v>
      </c>
      <c r="F38" s="11" t="s">
        <v>47</v>
      </c>
      <c r="G38" s="11" t="s">
        <v>48</v>
      </c>
      <c r="H38" s="11" t="s">
        <v>49</v>
      </c>
      <c r="I38" s="11" t="s">
        <v>50</v>
      </c>
      <c r="J38" s="1"/>
      <c r="K38" s="1"/>
      <c r="L38" s="1"/>
      <c r="M38" s="15" t="s">
        <v>59</v>
      </c>
      <c r="N38" s="15"/>
      <c r="O38" s="15"/>
      <c r="P38" s="15" t="s">
        <v>61</v>
      </c>
      <c r="Q38" s="15"/>
      <c r="R38" s="15"/>
      <c r="S38" s="1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x14ac:dyDescent="0.2">
      <c r="A39" s="1"/>
      <c r="B39" s="11"/>
      <c r="C39" s="11">
        <v>-1</v>
      </c>
      <c r="D39" s="11">
        <v>-434.32373969999998</v>
      </c>
      <c r="E39" s="11">
        <v>-4.8682999999999996</v>
      </c>
      <c r="F39" s="11">
        <v>0.115</v>
      </c>
      <c r="G39" s="11">
        <f>-E39-F39</f>
        <v>4.7532999999999994</v>
      </c>
      <c r="H39" s="11">
        <f>G39-4.7</f>
        <v>5.3299999999999237E-2</v>
      </c>
      <c r="I39" s="11">
        <f>D39-C39*E39</f>
        <v>-439.19203969999995</v>
      </c>
      <c r="J39" s="1"/>
      <c r="K39" s="1"/>
      <c r="L39" s="1"/>
      <c r="M39" s="15" t="s">
        <v>60</v>
      </c>
      <c r="N39" s="15"/>
      <c r="O39" s="15"/>
      <c r="Q39" s="11"/>
      <c r="R39" s="11"/>
      <c r="S39" s="1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x14ac:dyDescent="0.2">
      <c r="A40" s="1"/>
      <c r="B40" s="11"/>
      <c r="C40" s="11">
        <v>-0.5</v>
      </c>
      <c r="D40" s="11">
        <v>-436.68657897999998</v>
      </c>
      <c r="E40" s="11">
        <v>-4.5796000000000001</v>
      </c>
      <c r="F40" s="11">
        <v>0.115</v>
      </c>
      <c r="G40" s="11">
        <f t="shared" ref="G40:G43" si="11">-E40-F40</f>
        <v>4.4645999999999999</v>
      </c>
      <c r="H40" s="11">
        <f t="shared" ref="H40:H43" si="12">G40-4.7</f>
        <v>-0.23540000000000028</v>
      </c>
      <c r="I40" s="11">
        <f t="shared" ref="I40:I43" si="13">D40-C40*E40</f>
        <v>-438.97637897999999</v>
      </c>
      <c r="J40" s="1"/>
      <c r="K40" s="1"/>
      <c r="L40" s="1"/>
      <c r="M40" s="11" t="s">
        <v>54</v>
      </c>
      <c r="N40" s="11" t="s">
        <v>55</v>
      </c>
      <c r="O40" s="11" t="s">
        <v>56</v>
      </c>
      <c r="P40" s="11" t="s">
        <v>62</v>
      </c>
      <c r="Q40" s="11"/>
      <c r="R40" s="11"/>
      <c r="S40" s="1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">
      <c r="A41" s="1"/>
      <c r="B41" s="11"/>
      <c r="C41" s="11">
        <v>0</v>
      </c>
      <c r="D41" s="11">
        <v>-438.86535624999999</v>
      </c>
      <c r="E41" s="11">
        <v>-4.0743999999999998</v>
      </c>
      <c r="F41" s="11">
        <v>0.115</v>
      </c>
      <c r="G41" s="11">
        <f t="shared" si="11"/>
        <v>3.9593999999999996</v>
      </c>
      <c r="H41" s="11">
        <f t="shared" si="12"/>
        <v>-0.74060000000000059</v>
      </c>
      <c r="I41" s="11">
        <f t="shared" si="13"/>
        <v>-438.86535624999999</v>
      </c>
      <c r="J41" s="1"/>
      <c r="K41" s="1"/>
      <c r="L41" s="1"/>
      <c r="M41" s="11"/>
      <c r="N41" s="11"/>
      <c r="O41" s="11"/>
      <c r="P41" s="11"/>
      <c r="Q41" s="11"/>
      <c r="R41" s="11"/>
      <c r="S41" s="1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">
      <c r="A42" s="1"/>
      <c r="B42" s="11"/>
      <c r="C42" s="11">
        <v>0.5</v>
      </c>
      <c r="D42" s="11">
        <v>-440.73813422000001</v>
      </c>
      <c r="E42" s="11">
        <v>-3.2574000000000001</v>
      </c>
      <c r="F42" s="11">
        <v>0.115</v>
      </c>
      <c r="G42" s="11">
        <f t="shared" si="11"/>
        <v>3.1423999999999999</v>
      </c>
      <c r="H42" s="11">
        <f t="shared" si="12"/>
        <v>-1.5576000000000003</v>
      </c>
      <c r="I42" s="11">
        <f t="shared" si="13"/>
        <v>-439.10943422000003</v>
      </c>
      <c r="J42" s="1"/>
      <c r="K42" s="1"/>
      <c r="L42" s="1"/>
      <c r="M42" s="9" t="s">
        <v>57</v>
      </c>
      <c r="N42" s="9" t="s">
        <v>64</v>
      </c>
      <c r="O42" s="9" t="s">
        <v>63</v>
      </c>
      <c r="P42" s="11"/>
      <c r="Q42" s="11"/>
      <c r="R42" s="11"/>
      <c r="S42" s="1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">
      <c r="A43" s="1"/>
      <c r="B43" s="11"/>
      <c r="C43" s="11">
        <v>1</v>
      </c>
      <c r="D43" s="11">
        <v>-442.27692483999999</v>
      </c>
      <c r="E43" s="11">
        <v>-2.9217</v>
      </c>
      <c r="F43" s="11">
        <v>0.115</v>
      </c>
      <c r="G43" s="11">
        <f t="shared" si="11"/>
        <v>2.8066999999999998</v>
      </c>
      <c r="H43" s="11">
        <f t="shared" si="12"/>
        <v>-1.8933000000000004</v>
      </c>
      <c r="I43" s="11">
        <f t="shared" si="13"/>
        <v>-439.35522484000001</v>
      </c>
      <c r="J43" s="1"/>
      <c r="K43" s="1"/>
      <c r="L43" s="1"/>
      <c r="M43" s="11"/>
      <c r="N43" s="11"/>
      <c r="O43" s="11"/>
      <c r="P43" s="11"/>
      <c r="Q43" s="11"/>
      <c r="R43" s="11"/>
      <c r="S43" s="1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1">
        <v>-0.4</v>
      </c>
      <c r="N44" s="11">
        <v>-0.8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1">
        <v>-438.92975899999999</v>
      </c>
      <c r="N45" s="11">
        <v>-438.857777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5.75" x14ac:dyDescent="0.2">
      <c r="A46" s="1"/>
      <c r="B46" s="8" t="s">
        <v>68</v>
      </c>
      <c r="C46" s="11" t="s">
        <v>44</v>
      </c>
      <c r="D46" s="11" t="s">
        <v>45</v>
      </c>
      <c r="E46" s="11" t="s">
        <v>46</v>
      </c>
      <c r="F46" s="11" t="s">
        <v>47</v>
      </c>
      <c r="G46" s="11" t="s">
        <v>48</v>
      </c>
      <c r="H46" s="11" t="s">
        <v>49</v>
      </c>
      <c r="I46" s="11" t="s">
        <v>50</v>
      </c>
      <c r="J46" s="1"/>
      <c r="K46" s="1"/>
      <c r="L46" s="1"/>
      <c r="M46" s="15" t="s">
        <v>59</v>
      </c>
      <c r="N46" s="15"/>
      <c r="O46" s="15"/>
      <c r="P46" s="15" t="s">
        <v>61</v>
      </c>
      <c r="Q46" s="15"/>
      <c r="R46" s="15"/>
      <c r="S46" s="1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5.75" x14ac:dyDescent="0.2">
      <c r="A47" s="1"/>
      <c r="B47" s="11"/>
      <c r="C47" s="11">
        <v>-1</v>
      </c>
      <c r="D47" s="11">
        <v>-439.63288505000003</v>
      </c>
      <c r="E47" s="11">
        <v>-4.8029000000000002</v>
      </c>
      <c r="F47" s="11">
        <v>0.10100000000000001</v>
      </c>
      <c r="G47" s="11">
        <f>-E47-F47</f>
        <v>4.7019000000000002</v>
      </c>
      <c r="H47" s="11">
        <f>G47-4.7</f>
        <v>1.9000000000000128E-3</v>
      </c>
      <c r="I47" s="11">
        <f>D47-C47*E47</f>
        <v>-444.43578505000005</v>
      </c>
      <c r="J47" s="1"/>
      <c r="K47" s="1"/>
      <c r="L47" s="1"/>
      <c r="M47" s="15" t="s">
        <v>60</v>
      </c>
      <c r="N47" s="15"/>
      <c r="O47" s="15"/>
      <c r="Q47" s="11"/>
      <c r="R47" s="11"/>
      <c r="S47" s="1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5.75" x14ac:dyDescent="0.2">
      <c r="A48" s="1"/>
      <c r="B48" s="11"/>
      <c r="C48" s="11">
        <v>-0.5</v>
      </c>
      <c r="D48" s="11">
        <v>-441.96663233999999</v>
      </c>
      <c r="E48" s="11">
        <v>-4.5174000000000003</v>
      </c>
      <c r="F48" s="11">
        <v>0.10100000000000001</v>
      </c>
      <c r="G48" s="11">
        <f t="shared" ref="G48:G51" si="14">-E48-F48</f>
        <v>4.4164000000000003</v>
      </c>
      <c r="H48" s="11">
        <f t="shared" ref="H48:H51" si="15">G48-4.7</f>
        <v>-0.28359999999999985</v>
      </c>
      <c r="I48" s="11">
        <f t="shared" ref="I48:I51" si="16">D48-C48*E48</f>
        <v>-444.22533233999997</v>
      </c>
      <c r="J48" s="1"/>
      <c r="K48" s="1"/>
      <c r="L48" s="1"/>
      <c r="M48" s="11" t="s">
        <v>54</v>
      </c>
      <c r="N48" s="11" t="s">
        <v>55</v>
      </c>
      <c r="O48" s="11" t="s">
        <v>56</v>
      </c>
      <c r="P48" s="11" t="s">
        <v>62</v>
      </c>
      <c r="Q48" s="11"/>
      <c r="R48" s="11"/>
      <c r="S48" s="1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2">
      <c r="A49" s="1"/>
      <c r="B49" s="11"/>
      <c r="C49" s="11">
        <v>0</v>
      </c>
      <c r="D49" s="11">
        <v>-444.09544016000001</v>
      </c>
      <c r="E49" s="11">
        <v>-3.9811000000000001</v>
      </c>
      <c r="F49" s="11">
        <v>0.10100000000000001</v>
      </c>
      <c r="G49" s="11">
        <f t="shared" si="14"/>
        <v>3.8801000000000001</v>
      </c>
      <c r="H49" s="11">
        <f t="shared" si="15"/>
        <v>-0.81990000000000007</v>
      </c>
      <c r="I49" s="11">
        <f t="shared" si="16"/>
        <v>-444.09544016000001</v>
      </c>
      <c r="J49" s="12"/>
      <c r="K49" s="1"/>
      <c r="L49" s="1"/>
      <c r="M49" s="11"/>
      <c r="N49" s="11"/>
      <c r="O49" s="11"/>
      <c r="P49" s="11"/>
      <c r="Q49" s="11"/>
      <c r="R49" s="11"/>
      <c r="S49" s="1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2">
      <c r="A50" s="1"/>
      <c r="B50" s="11"/>
      <c r="C50" s="11">
        <v>0.5</v>
      </c>
      <c r="D50" s="11">
        <v>-445.93699169000001</v>
      </c>
      <c r="E50" s="11">
        <v>-3.1827000000000001</v>
      </c>
      <c r="F50" s="11">
        <v>0.10100000000000001</v>
      </c>
      <c r="G50" s="11">
        <f t="shared" si="14"/>
        <v>3.0817000000000001</v>
      </c>
      <c r="H50" s="11">
        <f t="shared" si="15"/>
        <v>-1.6183000000000001</v>
      </c>
      <c r="I50" s="11">
        <f t="shared" si="16"/>
        <v>-444.34564169000004</v>
      </c>
      <c r="J50" s="12"/>
      <c r="K50" s="1"/>
      <c r="L50" s="1"/>
      <c r="M50" s="9" t="s">
        <v>57</v>
      </c>
      <c r="N50" s="9" t="s">
        <v>64</v>
      </c>
      <c r="O50" s="9" t="s">
        <v>63</v>
      </c>
      <c r="P50" s="11"/>
      <c r="Q50" s="11"/>
      <c r="R50" s="11"/>
      <c r="S50" s="1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2">
      <c r="A51" s="1"/>
      <c r="B51" s="11"/>
      <c r="C51" s="11">
        <v>1</v>
      </c>
      <c r="D51" s="11">
        <v>-447.44474280999998</v>
      </c>
      <c r="E51" s="11">
        <v>-2.8567</v>
      </c>
      <c r="F51" s="11">
        <v>0.10100000000000001</v>
      </c>
      <c r="G51" s="11">
        <f t="shared" si="14"/>
        <v>2.7557</v>
      </c>
      <c r="H51" s="11">
        <f t="shared" si="15"/>
        <v>-1.9443000000000001</v>
      </c>
      <c r="I51" s="11">
        <f t="shared" si="16"/>
        <v>-444.58804280999999</v>
      </c>
      <c r="J51" s="12"/>
      <c r="K51" s="1"/>
      <c r="L51" s="1"/>
      <c r="M51" s="11"/>
      <c r="N51" s="11"/>
      <c r="O51" s="11"/>
      <c r="P51" s="11"/>
      <c r="Q51" s="11"/>
      <c r="R51" s="11"/>
      <c r="S51" s="1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1">
        <v>-0.4</v>
      </c>
      <c r="N52" s="11">
        <v>-0.8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1">
        <v>-444.18840799999998</v>
      </c>
      <c r="N53" s="11">
        <v>-444.093548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5.75" x14ac:dyDescent="0.2">
      <c r="A54" s="1"/>
      <c r="B54" s="8" t="s">
        <v>69</v>
      </c>
      <c r="C54" s="11" t="s">
        <v>44</v>
      </c>
      <c r="D54" s="11" t="s">
        <v>45</v>
      </c>
      <c r="E54" s="11" t="s">
        <v>46</v>
      </c>
      <c r="F54" s="11" t="s">
        <v>47</v>
      </c>
      <c r="G54" s="11" t="s">
        <v>48</v>
      </c>
      <c r="H54" s="11" t="s">
        <v>49</v>
      </c>
      <c r="I54" s="11" t="s">
        <v>50</v>
      </c>
      <c r="J54" s="1"/>
      <c r="K54" s="1"/>
      <c r="L54" s="1"/>
      <c r="M54" s="15" t="s">
        <v>59</v>
      </c>
      <c r="N54" s="15"/>
      <c r="O54" s="15"/>
      <c r="P54" s="15" t="s">
        <v>61</v>
      </c>
      <c r="Q54" s="15"/>
      <c r="R54" s="15"/>
      <c r="S54" s="1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5.75" x14ac:dyDescent="0.2">
      <c r="A55" s="1"/>
      <c r="B55" s="11"/>
      <c r="C55" s="11">
        <v>-1</v>
      </c>
      <c r="D55" s="11">
        <v>-445.48737772999999</v>
      </c>
      <c r="E55" s="11">
        <v>-4.7281000000000004</v>
      </c>
      <c r="F55" s="11">
        <v>0.09</v>
      </c>
      <c r="G55" s="11">
        <f>-E55-F55</f>
        <v>4.6381000000000006</v>
      </c>
      <c r="H55" s="11">
        <f>G55-4.7</f>
        <v>-6.1899999999999622E-2</v>
      </c>
      <c r="I55" s="11">
        <f>D55-C55*E55</f>
        <v>-450.21547772999998</v>
      </c>
      <c r="J55" s="1"/>
      <c r="K55" s="1"/>
      <c r="L55" s="1"/>
      <c r="M55" s="15" t="s">
        <v>60</v>
      </c>
      <c r="N55" s="15"/>
      <c r="O55" s="15"/>
      <c r="Q55" s="11"/>
      <c r="R55" s="11"/>
      <c r="S55" s="1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5.75" x14ac:dyDescent="0.2">
      <c r="A56" s="1"/>
      <c r="B56" s="11"/>
      <c r="C56" s="11">
        <v>-0.5</v>
      </c>
      <c r="D56" s="11">
        <v>-447.78555620999998</v>
      </c>
      <c r="E56" s="11">
        <v>-4.4534000000000002</v>
      </c>
      <c r="F56" s="11">
        <v>0.09</v>
      </c>
      <c r="G56" s="11">
        <f t="shared" ref="G56:G59" si="17">-E56-F56</f>
        <v>4.3634000000000004</v>
      </c>
      <c r="H56" s="11">
        <f t="shared" ref="H56:H59" si="18">G56-4.7</f>
        <v>-0.33659999999999979</v>
      </c>
      <c r="I56" s="11">
        <f t="shared" ref="I56:I59" si="19">D56-C56*E56</f>
        <v>-450.01225620999998</v>
      </c>
      <c r="J56" s="1"/>
      <c r="K56" s="1"/>
      <c r="L56" s="1"/>
      <c r="M56" s="11" t="s">
        <v>54</v>
      </c>
      <c r="N56" s="11" t="s">
        <v>55</v>
      </c>
      <c r="O56" s="11" t="s">
        <v>56</v>
      </c>
      <c r="P56" s="11" t="s">
        <v>62</v>
      </c>
      <c r="Q56" s="11"/>
      <c r="R56" s="11"/>
      <c r="S56" s="1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2">
      <c r="A57" s="1"/>
      <c r="B57" s="11"/>
      <c r="C57" s="11">
        <v>0</v>
      </c>
      <c r="D57" s="11">
        <v>-449.89323536000001</v>
      </c>
      <c r="E57" s="11">
        <v>-3.9510999999999998</v>
      </c>
      <c r="F57" s="11">
        <v>0.09</v>
      </c>
      <c r="G57" s="11">
        <f t="shared" si="17"/>
        <v>3.8611</v>
      </c>
      <c r="H57" s="11">
        <f t="shared" si="18"/>
        <v>-0.8389000000000002</v>
      </c>
      <c r="I57" s="11">
        <f t="shared" si="19"/>
        <v>-449.89323536000001</v>
      </c>
      <c r="J57" s="1"/>
      <c r="K57" s="1"/>
      <c r="L57" s="1"/>
      <c r="M57" s="11"/>
      <c r="N57" s="11"/>
      <c r="O57" s="11"/>
      <c r="P57" s="11"/>
      <c r="Q57" s="11"/>
      <c r="R57" s="11"/>
      <c r="S57" s="1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2">
      <c r="A58" s="1"/>
      <c r="B58" s="11"/>
      <c r="C58" s="11">
        <v>0.5</v>
      </c>
      <c r="D58" s="11">
        <v>-451.72669533999999</v>
      </c>
      <c r="E58" s="11">
        <v>-3.1802999999999999</v>
      </c>
      <c r="F58" s="11">
        <v>0.09</v>
      </c>
      <c r="G58" s="11">
        <f t="shared" si="17"/>
        <v>3.0903</v>
      </c>
      <c r="H58" s="11">
        <f t="shared" si="18"/>
        <v>-1.6097000000000001</v>
      </c>
      <c r="I58" s="11">
        <f t="shared" si="19"/>
        <v>-450.13654534</v>
      </c>
      <c r="J58" s="1"/>
      <c r="K58" s="1"/>
      <c r="L58" s="1"/>
      <c r="M58" s="9" t="s">
        <v>57</v>
      </c>
      <c r="N58" s="9" t="s">
        <v>64</v>
      </c>
      <c r="O58" s="9" t="s">
        <v>63</v>
      </c>
      <c r="P58" s="11"/>
      <c r="Q58" s="11"/>
      <c r="R58" s="11"/>
      <c r="S58" s="1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2">
      <c r="A59" s="1"/>
      <c r="B59" s="11"/>
      <c r="C59" s="11">
        <v>1</v>
      </c>
      <c r="D59" s="11">
        <v>-453.23501332000001</v>
      </c>
      <c r="E59" s="11">
        <v>-2.8662000000000001</v>
      </c>
      <c r="F59" s="11">
        <v>0.09</v>
      </c>
      <c r="G59" s="11">
        <f t="shared" si="17"/>
        <v>2.7762000000000002</v>
      </c>
      <c r="H59" s="11">
        <f t="shared" si="18"/>
        <v>-1.9238</v>
      </c>
      <c r="I59" s="11">
        <f t="shared" si="19"/>
        <v>-450.36881332000002</v>
      </c>
      <c r="J59" s="1"/>
      <c r="K59" s="1"/>
      <c r="L59" s="1"/>
      <c r="M59" s="11"/>
      <c r="N59" s="11"/>
      <c r="O59" s="11"/>
      <c r="P59" s="11"/>
      <c r="Q59" s="11"/>
      <c r="R59" s="11"/>
      <c r="S59" s="1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1">
        <v>-0.4</v>
      </c>
      <c r="N60" s="11">
        <v>-0.8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1">
        <v>-449.99967099999998</v>
      </c>
      <c r="N61" s="1">
        <v>-449.89312699999999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5.75" x14ac:dyDescent="0.2">
      <c r="A62" s="1"/>
      <c r="B62" s="8" t="s">
        <v>35</v>
      </c>
      <c r="C62" s="11" t="s">
        <v>44</v>
      </c>
      <c r="D62" s="11" t="s">
        <v>45</v>
      </c>
      <c r="E62" s="11" t="s">
        <v>46</v>
      </c>
      <c r="F62" s="11" t="s">
        <v>47</v>
      </c>
      <c r="G62" s="11" t="s">
        <v>48</v>
      </c>
      <c r="H62" s="11" t="s">
        <v>49</v>
      </c>
      <c r="I62" s="11" t="s">
        <v>50</v>
      </c>
      <c r="J62" s="1"/>
      <c r="K62" s="1"/>
      <c r="L62" s="1"/>
      <c r="M62" s="15" t="s">
        <v>59</v>
      </c>
      <c r="N62" s="15"/>
      <c r="O62" s="15"/>
      <c r="P62" s="15" t="s">
        <v>61</v>
      </c>
      <c r="Q62" s="15"/>
      <c r="R62" s="15"/>
      <c r="S62" s="1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5.75" x14ac:dyDescent="0.2">
      <c r="A63" s="1"/>
      <c r="B63" s="11"/>
      <c r="C63" s="11">
        <v>-1</v>
      </c>
      <c r="D63" s="11">
        <v>-449.84747069999997</v>
      </c>
      <c r="E63" s="11">
        <v>-4.4401999999999999</v>
      </c>
      <c r="F63" s="11">
        <v>7.0000000000000007E-2</v>
      </c>
      <c r="G63" s="11">
        <f>-E63-F63</f>
        <v>4.3701999999999996</v>
      </c>
      <c r="H63" s="11">
        <f>G63-4.7</f>
        <v>-0.32980000000000054</v>
      </c>
      <c r="I63" s="11">
        <f>D63-C63*E63</f>
        <v>-454.28767069999998</v>
      </c>
      <c r="J63" s="1"/>
      <c r="K63" s="1"/>
      <c r="L63" s="1"/>
      <c r="M63" s="15" t="s">
        <v>60</v>
      </c>
      <c r="N63" s="15"/>
      <c r="O63" s="15"/>
      <c r="Q63" s="11"/>
      <c r="R63" s="11"/>
      <c r="S63" s="1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5.75" x14ac:dyDescent="0.2">
      <c r="A64" s="1"/>
      <c r="B64" s="11"/>
      <c r="C64" s="11">
        <v>-0.5</v>
      </c>
      <c r="D64" s="11">
        <v>-451.94292078000001</v>
      </c>
      <c r="E64" s="11">
        <v>-3.9792000000000001</v>
      </c>
      <c r="F64" s="11">
        <v>7.0000000000000007E-2</v>
      </c>
      <c r="G64" s="11">
        <f t="shared" ref="G64:G67" si="20">-E64-F64</f>
        <v>3.9092000000000002</v>
      </c>
      <c r="H64" s="11">
        <f t="shared" ref="H64:H67" si="21">G64-4.7</f>
        <v>-0.79079999999999995</v>
      </c>
      <c r="I64" s="11">
        <f t="shared" ref="I64:I67" si="22">D64-C64*E64</f>
        <v>-453.93252078</v>
      </c>
      <c r="J64" s="1"/>
      <c r="K64" s="1"/>
      <c r="L64" s="1"/>
      <c r="M64" s="11" t="s">
        <v>54</v>
      </c>
      <c r="N64" s="11" t="s">
        <v>55</v>
      </c>
      <c r="O64" s="11" t="s">
        <v>56</v>
      </c>
      <c r="P64" s="11" t="s">
        <v>62</v>
      </c>
      <c r="Q64" s="11"/>
      <c r="R64" s="11"/>
      <c r="S64" s="1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2">
      <c r="A65" s="1"/>
      <c r="B65" s="11"/>
      <c r="C65" s="11">
        <v>0</v>
      </c>
      <c r="D65" s="11">
        <v>-453.86562784</v>
      </c>
      <c r="E65" s="11">
        <v>-3.6701000000000001</v>
      </c>
      <c r="F65" s="11">
        <v>7.0000000000000007E-2</v>
      </c>
      <c r="G65" s="11">
        <f t="shared" si="20"/>
        <v>3.6001000000000003</v>
      </c>
      <c r="H65" s="11">
        <f t="shared" si="21"/>
        <v>-1.0998999999999999</v>
      </c>
      <c r="I65" s="11">
        <f t="shared" si="22"/>
        <v>-453.86562784</v>
      </c>
      <c r="J65" s="1"/>
      <c r="K65" s="1"/>
      <c r="L65" s="1"/>
      <c r="M65" s="11"/>
      <c r="N65" s="11"/>
      <c r="O65" s="11"/>
      <c r="P65" s="11"/>
      <c r="Q65" s="11"/>
      <c r="R65" s="11"/>
      <c r="S65" s="1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2">
      <c r="A66" s="1"/>
      <c r="B66" s="11"/>
      <c r="C66" s="11">
        <v>0.5</v>
      </c>
      <c r="D66" s="11">
        <v>-455.54758564000002</v>
      </c>
      <c r="E66" s="11">
        <v>-3.0083000000000002</v>
      </c>
      <c r="F66" s="11">
        <v>7.0000000000000007E-2</v>
      </c>
      <c r="G66" s="11">
        <f t="shared" si="20"/>
        <v>2.9383000000000004</v>
      </c>
      <c r="H66" s="11">
        <f t="shared" si="21"/>
        <v>-1.7616999999999998</v>
      </c>
      <c r="I66" s="11">
        <f t="shared" si="22"/>
        <v>-454.04343564000004</v>
      </c>
      <c r="J66" s="1"/>
      <c r="K66" s="1"/>
      <c r="L66" s="1"/>
      <c r="M66" s="9" t="s">
        <v>57</v>
      </c>
      <c r="N66" s="9" t="s">
        <v>64</v>
      </c>
      <c r="O66" s="9" t="s">
        <v>63</v>
      </c>
      <c r="P66" s="11"/>
      <c r="Q66" s="11"/>
      <c r="R66" s="11"/>
      <c r="S66" s="1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2">
      <c r="A67" s="1"/>
      <c r="B67" s="11"/>
      <c r="C67" s="11">
        <v>1</v>
      </c>
      <c r="D67" s="11">
        <v>-456.94000774</v>
      </c>
      <c r="E67" s="11">
        <v>-2.5918000000000001</v>
      </c>
      <c r="F67" s="11">
        <v>7.0000000000000007E-2</v>
      </c>
      <c r="G67" s="11">
        <f t="shared" si="20"/>
        <v>2.5218000000000003</v>
      </c>
      <c r="H67" s="11">
        <f t="shared" si="21"/>
        <v>-2.1781999999999999</v>
      </c>
      <c r="I67" s="11">
        <f t="shared" si="22"/>
        <v>-454.34820774000002</v>
      </c>
      <c r="J67" s="1"/>
      <c r="K67" s="1"/>
      <c r="L67" s="1"/>
      <c r="M67" s="11"/>
      <c r="N67" s="11"/>
      <c r="O67" s="11"/>
      <c r="P67" s="11"/>
      <c r="Q67" s="11"/>
      <c r="R67" s="11"/>
      <c r="S67" s="1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1">
        <v>-0.4</v>
      </c>
      <c r="N68" s="11">
        <v>-0.8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>
        <v>-454.21295300000003</v>
      </c>
      <c r="N69" s="1">
        <v>-453.949772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5.75" x14ac:dyDescent="0.2">
      <c r="A70" s="1"/>
      <c r="B70" s="8" t="s">
        <v>70</v>
      </c>
      <c r="C70" s="11" t="s">
        <v>44</v>
      </c>
      <c r="D70" s="11" t="s">
        <v>45</v>
      </c>
      <c r="E70" s="11" t="s">
        <v>46</v>
      </c>
      <c r="F70" s="11" t="s">
        <v>47</v>
      </c>
      <c r="G70" s="11" t="s">
        <v>48</v>
      </c>
      <c r="H70" s="11" t="s">
        <v>49</v>
      </c>
      <c r="I70" s="11" t="s">
        <v>50</v>
      </c>
      <c r="J70" s="1"/>
      <c r="K70" s="1"/>
      <c r="L70" s="1"/>
      <c r="M70" s="15" t="s">
        <v>59</v>
      </c>
      <c r="N70" s="15"/>
      <c r="O70" s="15"/>
      <c r="P70" s="15" t="s">
        <v>61</v>
      </c>
      <c r="Q70" s="15"/>
      <c r="R70" s="15"/>
      <c r="S70" s="1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5.75" x14ac:dyDescent="0.2">
      <c r="A71" s="1"/>
      <c r="B71" s="11"/>
      <c r="C71" s="11">
        <v>-1</v>
      </c>
      <c r="D71" s="11">
        <v>-444.93411076000001</v>
      </c>
      <c r="E71" s="11">
        <v>-4.3437000000000001</v>
      </c>
      <c r="F71" s="11">
        <v>7.3999999999999996E-2</v>
      </c>
      <c r="G71" s="11">
        <f>-E71-F71</f>
        <v>4.2697000000000003</v>
      </c>
      <c r="H71" s="11">
        <f>G71-4.7</f>
        <v>-0.4302999999999999</v>
      </c>
      <c r="I71" s="11">
        <f>D71-C71*E71</f>
        <v>-449.27781076000002</v>
      </c>
      <c r="J71" s="1"/>
      <c r="K71" s="1"/>
      <c r="L71" s="1"/>
      <c r="M71" s="15" t="s">
        <v>60</v>
      </c>
      <c r="N71" s="15"/>
      <c r="O71" s="15"/>
      <c r="Q71" s="11"/>
      <c r="R71" s="11"/>
      <c r="S71" s="1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5.75" x14ac:dyDescent="0.2">
      <c r="A72" s="1"/>
      <c r="B72" s="11"/>
      <c r="C72" s="11">
        <v>-0.5</v>
      </c>
      <c r="D72" s="11">
        <v>-446.99834328999998</v>
      </c>
      <c r="E72" s="11">
        <v>-3.7597</v>
      </c>
      <c r="F72" s="11">
        <v>7.3999999999999996E-2</v>
      </c>
      <c r="G72" s="11">
        <f t="shared" ref="G72:G75" si="23">-E72-F72</f>
        <v>3.6857000000000002</v>
      </c>
      <c r="H72" s="11">
        <f t="shared" ref="H72:H75" si="24">G72-4.7</f>
        <v>-1.0143</v>
      </c>
      <c r="I72" s="11">
        <f t="shared" ref="I72:I75" si="25">D72-C72*E72</f>
        <v>-448.87819328999996</v>
      </c>
      <c r="J72" s="1"/>
      <c r="K72" s="1"/>
      <c r="L72" s="1"/>
      <c r="M72" s="11" t="s">
        <v>54</v>
      </c>
      <c r="N72" s="11" t="s">
        <v>55</v>
      </c>
      <c r="O72" s="11" t="s">
        <v>56</v>
      </c>
      <c r="P72" s="11" t="s">
        <v>62</v>
      </c>
      <c r="Q72" s="11"/>
      <c r="R72" s="11"/>
      <c r="S72" s="1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2">
      <c r="A73" s="1"/>
      <c r="B73" s="11"/>
      <c r="C73" s="11">
        <v>0</v>
      </c>
      <c r="D73" s="11">
        <v>-448.83785082999998</v>
      </c>
      <c r="E73" s="11">
        <v>-3.5773000000000001</v>
      </c>
      <c r="F73" s="11">
        <v>7.3999999999999996E-2</v>
      </c>
      <c r="G73" s="11">
        <f t="shared" si="23"/>
        <v>3.5033000000000003</v>
      </c>
      <c r="H73" s="11">
        <f t="shared" si="24"/>
        <v>-1.1966999999999999</v>
      </c>
      <c r="I73" s="11">
        <f t="shared" si="25"/>
        <v>-448.83785082999998</v>
      </c>
      <c r="J73" s="1"/>
      <c r="K73" s="1"/>
      <c r="L73" s="1"/>
      <c r="M73" s="11"/>
      <c r="N73" s="11"/>
      <c r="O73" s="11"/>
      <c r="P73" s="11"/>
      <c r="Q73" s="11"/>
      <c r="R73" s="11"/>
      <c r="S73" s="1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2">
      <c r="A74" s="1"/>
      <c r="B74" s="11"/>
      <c r="C74" s="11">
        <v>0.5</v>
      </c>
      <c r="D74" s="11">
        <v>-450.48122229000001</v>
      </c>
      <c r="E74" s="11">
        <v>-2.9365000000000001</v>
      </c>
      <c r="F74" s="11">
        <v>7.3999999999999996E-2</v>
      </c>
      <c r="G74" s="11">
        <f t="shared" si="23"/>
        <v>2.8625000000000003</v>
      </c>
      <c r="H74" s="11">
        <f t="shared" si="24"/>
        <v>-1.8374999999999999</v>
      </c>
      <c r="I74" s="11">
        <f t="shared" si="25"/>
        <v>-449.01297228999999</v>
      </c>
      <c r="J74" s="1"/>
      <c r="K74" s="1"/>
      <c r="L74" s="1"/>
      <c r="M74" s="9" t="s">
        <v>57</v>
      </c>
      <c r="N74" s="9" t="s">
        <v>64</v>
      </c>
      <c r="O74" s="9" t="s">
        <v>63</v>
      </c>
      <c r="P74" s="11"/>
      <c r="Q74" s="11"/>
      <c r="R74" s="11"/>
      <c r="S74" s="1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2">
      <c r="A75" s="1"/>
      <c r="B75" s="11"/>
      <c r="C75" s="11">
        <v>1</v>
      </c>
      <c r="D75" s="11">
        <v>-451.83503451000001</v>
      </c>
      <c r="E75" s="11">
        <v>-2.5125999999999999</v>
      </c>
      <c r="F75" s="11">
        <v>7.3999999999999996E-2</v>
      </c>
      <c r="G75" s="11">
        <f t="shared" si="23"/>
        <v>2.4386000000000001</v>
      </c>
      <c r="H75" s="11">
        <f t="shared" si="24"/>
        <v>-2.2614000000000001</v>
      </c>
      <c r="I75" s="11">
        <f t="shared" si="25"/>
        <v>-449.32243450999999</v>
      </c>
      <c r="J75" s="1"/>
      <c r="K75" s="1"/>
      <c r="L75" s="1"/>
      <c r="M75" s="11"/>
      <c r="N75" s="11"/>
      <c r="O75" s="11"/>
      <c r="P75" s="11"/>
      <c r="Q75" s="1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1">
        <v>-0.4</v>
      </c>
      <c r="N76" s="11">
        <v>-0.8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1">
        <v>-449.30177099999997</v>
      </c>
      <c r="N77" s="11">
        <v>-448.98514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5.75" x14ac:dyDescent="0.2">
      <c r="A78" s="1"/>
      <c r="B78" s="13" t="s">
        <v>71</v>
      </c>
      <c r="C78" s="11" t="s">
        <v>44</v>
      </c>
      <c r="D78" s="11" t="s">
        <v>45</v>
      </c>
      <c r="E78" s="11" t="s">
        <v>46</v>
      </c>
      <c r="F78" s="11" t="s">
        <v>47</v>
      </c>
      <c r="G78" s="11" t="s">
        <v>48</v>
      </c>
      <c r="H78" s="11" t="s">
        <v>49</v>
      </c>
      <c r="I78" s="11" t="s">
        <v>50</v>
      </c>
      <c r="J78" s="1"/>
      <c r="K78" s="1"/>
      <c r="L78" s="1"/>
      <c r="M78" s="15" t="s">
        <v>59</v>
      </c>
      <c r="N78" s="15"/>
      <c r="O78" s="15"/>
      <c r="P78" s="15" t="s">
        <v>61</v>
      </c>
      <c r="Q78" s="15"/>
      <c r="R78" s="15"/>
      <c r="S78" s="1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5.75" x14ac:dyDescent="0.2">
      <c r="A79" s="1"/>
      <c r="B79" s="11"/>
      <c r="C79" s="11">
        <v>-1</v>
      </c>
      <c r="D79" s="11">
        <v>-441.57118357000002</v>
      </c>
      <c r="E79" s="11">
        <v>-4.5547000000000004</v>
      </c>
      <c r="F79" s="11">
        <v>9.8000000000000004E-2</v>
      </c>
      <c r="G79" s="11">
        <f>-E79-F79</f>
        <v>4.4567000000000005</v>
      </c>
      <c r="H79" s="11">
        <f>G79-4.7</f>
        <v>-0.24329999999999963</v>
      </c>
      <c r="I79" s="11">
        <f>D79-C79*E79</f>
        <v>-446.12588357000004</v>
      </c>
      <c r="J79" s="1"/>
      <c r="K79" s="1"/>
      <c r="L79" s="1"/>
      <c r="M79" s="15" t="s">
        <v>60</v>
      </c>
      <c r="N79" s="15"/>
      <c r="O79" s="15"/>
      <c r="Q79" s="11"/>
      <c r="R79" s="11"/>
      <c r="S79" s="1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5.75" x14ac:dyDescent="0.2">
      <c r="A80" s="1"/>
      <c r="B80" s="11"/>
      <c r="C80" s="11">
        <v>-0.5</v>
      </c>
      <c r="D80" s="11">
        <v>-443.77301838</v>
      </c>
      <c r="E80" s="11">
        <v>-4.1185</v>
      </c>
      <c r="F80" s="11">
        <v>9.8000000000000004E-2</v>
      </c>
      <c r="G80" s="11">
        <f t="shared" ref="G80:G83" si="26">-E80-F80</f>
        <v>4.0205000000000002</v>
      </c>
      <c r="H80" s="11">
        <f t="shared" ref="H80:H83" si="27">G80-4.7</f>
        <v>-0.67949999999999999</v>
      </c>
      <c r="I80" s="11">
        <f t="shared" ref="I80:I83" si="28">D80-C80*E80</f>
        <v>-445.83226838000002</v>
      </c>
      <c r="J80" s="1"/>
      <c r="K80" s="1"/>
      <c r="L80" s="1"/>
      <c r="M80" s="11" t="s">
        <v>54</v>
      </c>
      <c r="N80" s="11" t="s">
        <v>55</v>
      </c>
      <c r="O80" s="11" t="s">
        <v>56</v>
      </c>
      <c r="P80" s="11" t="s">
        <v>62</v>
      </c>
      <c r="Q80" s="11"/>
      <c r="R80" s="11"/>
      <c r="S80" s="1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2">
      <c r="A81" s="1"/>
      <c r="B81" s="11"/>
      <c r="C81" s="11">
        <v>0</v>
      </c>
      <c r="D81" s="11">
        <v>-445.80481288999999</v>
      </c>
      <c r="E81" s="11">
        <v>-3.9645000000000001</v>
      </c>
      <c r="F81" s="11">
        <v>9.8000000000000004E-2</v>
      </c>
      <c r="G81" s="11">
        <f t="shared" si="26"/>
        <v>3.8665000000000003</v>
      </c>
      <c r="H81" s="11">
        <f t="shared" si="27"/>
        <v>-0.83349999999999991</v>
      </c>
      <c r="I81" s="11">
        <f t="shared" si="28"/>
        <v>-445.80481288999999</v>
      </c>
      <c r="J81" s="1"/>
      <c r="K81" s="1"/>
      <c r="L81" s="1"/>
      <c r="M81" s="11"/>
      <c r="N81" s="11"/>
      <c r="O81" s="11"/>
      <c r="P81" s="11"/>
      <c r="Q81" s="11"/>
      <c r="R81" s="11"/>
      <c r="S81" s="1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2">
      <c r="A82" s="1"/>
      <c r="B82" s="11"/>
      <c r="C82" s="11">
        <v>0.5</v>
      </c>
      <c r="D82" s="11">
        <v>-447.65107367000002</v>
      </c>
      <c r="E82" s="11">
        <v>-3.2351000000000001</v>
      </c>
      <c r="F82" s="11">
        <v>9.8000000000000004E-2</v>
      </c>
      <c r="G82" s="11">
        <f t="shared" si="26"/>
        <v>3.1371000000000002</v>
      </c>
      <c r="H82" s="11">
        <f t="shared" si="27"/>
        <v>-1.5629</v>
      </c>
      <c r="I82" s="11">
        <f t="shared" si="28"/>
        <v>-446.03352367000002</v>
      </c>
      <c r="J82" s="1"/>
      <c r="K82" s="1"/>
      <c r="L82" s="1"/>
      <c r="M82" s="9" t="s">
        <v>57</v>
      </c>
      <c r="N82" s="9" t="s">
        <v>64</v>
      </c>
      <c r="O82" s="9" t="s">
        <v>63</v>
      </c>
      <c r="P82" s="11"/>
      <c r="Q82" s="11"/>
      <c r="R82" s="11"/>
      <c r="S82" s="1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2">
      <c r="A83" s="1"/>
      <c r="B83" s="11"/>
      <c r="C83" s="11">
        <v>1</v>
      </c>
      <c r="D83" s="2">
        <v>-449.19068093999999</v>
      </c>
      <c r="E83" s="11">
        <v>-2.9298999999999999</v>
      </c>
      <c r="F83" s="11">
        <v>9.8000000000000004E-2</v>
      </c>
      <c r="G83" s="11">
        <f t="shared" si="26"/>
        <v>2.8319000000000001</v>
      </c>
      <c r="H83" s="11">
        <f t="shared" si="27"/>
        <v>-1.8681000000000001</v>
      </c>
      <c r="I83" s="11">
        <f t="shared" si="28"/>
        <v>-446.26078094000002</v>
      </c>
      <c r="J83" s="1"/>
      <c r="K83" s="1"/>
      <c r="L83" s="1"/>
      <c r="M83" s="11"/>
      <c r="N83" s="11"/>
      <c r="O83" s="11"/>
      <c r="P83" s="11"/>
      <c r="Q83" s="11"/>
      <c r="R83" s="11"/>
      <c r="S83" s="1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1">
        <v>-0.4</v>
      </c>
      <c r="N84" s="11">
        <v>-0.8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1">
        <v>-445.993987</v>
      </c>
      <c r="N85" s="1">
        <v>-445.81523900000002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5.75" x14ac:dyDescent="0.2">
      <c r="A86" s="1"/>
      <c r="B86" s="8" t="s">
        <v>72</v>
      </c>
      <c r="C86" s="11" t="s">
        <v>44</v>
      </c>
      <c r="D86" s="11" t="s">
        <v>45</v>
      </c>
      <c r="E86" s="11" t="s">
        <v>46</v>
      </c>
      <c r="F86" s="11" t="s">
        <v>47</v>
      </c>
      <c r="G86" s="11" t="s">
        <v>48</v>
      </c>
      <c r="H86" s="11" t="s">
        <v>49</v>
      </c>
      <c r="I86" s="11" t="s">
        <v>50</v>
      </c>
      <c r="J86" s="1"/>
      <c r="K86" s="1"/>
      <c r="L86" s="1"/>
      <c r="M86" s="15" t="s">
        <v>59</v>
      </c>
      <c r="N86" s="15"/>
      <c r="O86" s="15"/>
      <c r="P86" s="15" t="s">
        <v>61</v>
      </c>
      <c r="Q86" s="15"/>
      <c r="R86" s="15"/>
      <c r="S86" s="1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5.75" x14ac:dyDescent="0.2">
      <c r="A87" s="1"/>
      <c r="B87" s="11"/>
      <c r="C87" s="11">
        <v>-1</v>
      </c>
      <c r="D87" s="11">
        <v>-445.13995197000003</v>
      </c>
      <c r="E87" s="11">
        <v>-4.5423999999999998</v>
      </c>
      <c r="F87" s="11">
        <v>8.4000000000000005E-2</v>
      </c>
      <c r="G87" s="11">
        <f>-E87-F87</f>
        <v>4.4584000000000001</v>
      </c>
      <c r="H87" s="11">
        <f>G87-4.7</f>
        <v>-0.24160000000000004</v>
      </c>
      <c r="I87" s="11">
        <f>D87-C87*E87</f>
        <v>-449.68235197000001</v>
      </c>
      <c r="J87" s="1"/>
      <c r="K87" s="1"/>
      <c r="L87" s="1"/>
      <c r="M87" s="15" t="s">
        <v>60</v>
      </c>
      <c r="N87" s="15"/>
      <c r="O87" s="15"/>
      <c r="Q87" s="11"/>
      <c r="R87" s="11"/>
      <c r="S87" s="1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5.75" x14ac:dyDescent="0.2">
      <c r="A88" s="1"/>
      <c r="B88" s="11"/>
      <c r="C88" s="11">
        <v>-0.5</v>
      </c>
      <c r="D88" s="11">
        <v>-447.32435636000002</v>
      </c>
      <c r="E88" s="11">
        <v>-4.1204000000000001</v>
      </c>
      <c r="F88" s="11">
        <v>8.4000000000000005E-2</v>
      </c>
      <c r="G88" s="11">
        <f t="shared" ref="G88:G91" si="29">-E88-F88</f>
        <v>4.0364000000000004</v>
      </c>
      <c r="H88" s="11">
        <f t="shared" ref="H88:H91" si="30">G88-4.7</f>
        <v>-0.66359999999999975</v>
      </c>
      <c r="I88" s="11">
        <f t="shared" ref="I88:I91" si="31">D88-C88*E88</f>
        <v>-449.38455636000003</v>
      </c>
      <c r="J88" s="1"/>
      <c r="K88" s="1"/>
      <c r="L88" s="1"/>
      <c r="M88" s="11" t="s">
        <v>54</v>
      </c>
      <c r="N88" s="11" t="s">
        <v>55</v>
      </c>
      <c r="O88" s="11" t="s">
        <v>56</v>
      </c>
      <c r="P88" s="11" t="s">
        <v>62</v>
      </c>
      <c r="Q88" s="11"/>
      <c r="R88" s="11"/>
      <c r="S88" s="1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2">
      <c r="A89" s="1"/>
      <c r="B89" s="11"/>
      <c r="C89" s="11">
        <v>0</v>
      </c>
      <c r="D89" s="11">
        <v>-449.18668528000001</v>
      </c>
      <c r="E89" s="11">
        <v>-3.6223999999999998</v>
      </c>
      <c r="F89" s="11">
        <v>8.4000000000000005E-2</v>
      </c>
      <c r="G89" s="11">
        <f t="shared" si="29"/>
        <v>3.5383999999999998</v>
      </c>
      <c r="H89" s="11">
        <f t="shared" si="30"/>
        <v>-1.1616000000000004</v>
      </c>
      <c r="I89" s="11">
        <f t="shared" si="31"/>
        <v>-449.18668528000001</v>
      </c>
      <c r="J89" s="1"/>
      <c r="K89" s="1"/>
      <c r="L89" s="1"/>
      <c r="M89" s="11"/>
      <c r="N89" s="11"/>
      <c r="O89" s="11"/>
      <c r="P89" s="11"/>
      <c r="Q89" s="11"/>
      <c r="R89" s="11"/>
      <c r="S89" s="1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2">
      <c r="A90" s="1"/>
      <c r="B90" s="11"/>
      <c r="C90" s="11">
        <v>0.5</v>
      </c>
      <c r="D90" s="11">
        <v>-450.89577681999998</v>
      </c>
      <c r="E90" s="11">
        <v>-3.1234999999999999</v>
      </c>
      <c r="F90" s="11">
        <v>8.4000000000000005E-2</v>
      </c>
      <c r="G90" s="11">
        <f t="shared" si="29"/>
        <v>3.0394999999999999</v>
      </c>
      <c r="H90" s="11">
        <f t="shared" si="30"/>
        <v>-1.6605000000000003</v>
      </c>
      <c r="I90" s="11">
        <f t="shared" si="31"/>
        <v>-449.33402681999996</v>
      </c>
      <c r="J90" s="1"/>
      <c r="K90" s="1"/>
      <c r="L90" s="1"/>
      <c r="M90" s="9" t="s">
        <v>57</v>
      </c>
      <c r="N90" s="9" t="s">
        <v>64</v>
      </c>
      <c r="O90" s="9" t="s">
        <v>63</v>
      </c>
      <c r="P90" s="11"/>
      <c r="Q90" s="11"/>
      <c r="R90" s="11"/>
      <c r="S90" s="1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2">
      <c r="A91" s="1"/>
      <c r="B91" s="11"/>
      <c r="C91" s="11">
        <v>1</v>
      </c>
      <c r="D91" s="11">
        <v>-452.72335315999999</v>
      </c>
      <c r="E91" s="11">
        <v>-2.89</v>
      </c>
      <c r="F91" s="11">
        <v>8.4000000000000005E-2</v>
      </c>
      <c r="G91" s="11">
        <f t="shared" si="29"/>
        <v>2.806</v>
      </c>
      <c r="H91" s="11">
        <f t="shared" si="30"/>
        <v>-1.8940000000000001</v>
      </c>
      <c r="I91" s="11">
        <f t="shared" si="31"/>
        <v>-449.83335316</v>
      </c>
      <c r="J91" s="1"/>
      <c r="K91" s="1"/>
      <c r="L91" s="1"/>
      <c r="M91" s="11"/>
      <c r="N91" s="11"/>
      <c r="O91" s="11"/>
      <c r="P91" s="11"/>
      <c r="Q91" s="11"/>
      <c r="R91" s="11"/>
      <c r="S91" s="1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1">
        <v>-0.4</v>
      </c>
      <c r="N92" s="11">
        <v>-0.8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1">
        <v>-449.53290099999998</v>
      </c>
      <c r="N93" s="11">
        <v>-449.230661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5.75" x14ac:dyDescent="0.2">
      <c r="A94" s="1"/>
      <c r="B94" s="8" t="s">
        <v>26</v>
      </c>
      <c r="C94" s="11" t="s">
        <v>44</v>
      </c>
      <c r="D94" s="11" t="s">
        <v>45</v>
      </c>
      <c r="E94" s="11" t="s">
        <v>46</v>
      </c>
      <c r="F94" s="11" t="s">
        <v>47</v>
      </c>
      <c r="G94" s="11" t="s">
        <v>48</v>
      </c>
      <c r="H94" s="11" t="s">
        <v>49</v>
      </c>
      <c r="I94" s="11" t="s">
        <v>50</v>
      </c>
      <c r="J94" s="1"/>
      <c r="K94" s="1"/>
      <c r="L94" s="1"/>
      <c r="M94" s="15" t="s">
        <v>59</v>
      </c>
      <c r="N94" s="15"/>
      <c r="O94" s="15"/>
      <c r="P94" s="15" t="s">
        <v>61</v>
      </c>
      <c r="Q94" s="15"/>
      <c r="R94" s="15"/>
      <c r="S94" s="1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5.75" x14ac:dyDescent="0.2">
      <c r="A95" s="1"/>
      <c r="B95" s="11"/>
      <c r="C95" s="11">
        <v>-1</v>
      </c>
      <c r="D95" s="11">
        <v>-438.13325049999997</v>
      </c>
      <c r="E95" s="11">
        <v>-4.7065000000000001</v>
      </c>
      <c r="F95" s="11">
        <v>9.7000000000000003E-2</v>
      </c>
      <c r="G95" s="11">
        <f>-E95-F95</f>
        <v>4.6094999999999997</v>
      </c>
      <c r="H95" s="11">
        <f>G95-4.7</f>
        <v>-9.0500000000000469E-2</v>
      </c>
      <c r="I95" s="11">
        <f>D95-C95*E95</f>
        <v>-442.83975049999998</v>
      </c>
      <c r="J95" s="1"/>
      <c r="K95" s="1"/>
      <c r="L95" s="1"/>
      <c r="M95" s="15" t="s">
        <v>60</v>
      </c>
      <c r="N95" s="15"/>
      <c r="O95" s="15"/>
      <c r="Q95" s="11"/>
      <c r="R95" s="11"/>
      <c r="S95" s="1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5.75" x14ac:dyDescent="0.2">
      <c r="A96" s="1"/>
      <c r="B96" s="11"/>
      <c r="C96" s="11">
        <v>-0.5</v>
      </c>
      <c r="D96" s="11">
        <v>-440.42146545000003</v>
      </c>
      <c r="E96" s="11">
        <v>-4.4466999999999999</v>
      </c>
      <c r="F96" s="11">
        <v>9.7000000000000003E-2</v>
      </c>
      <c r="G96" s="11">
        <f t="shared" ref="G96:G99" si="32">-E96-F96</f>
        <v>4.3496999999999995</v>
      </c>
      <c r="H96" s="11">
        <f t="shared" ref="H96:H99" si="33">G96-4.7</f>
        <v>-0.35030000000000072</v>
      </c>
      <c r="I96" s="11">
        <f t="shared" ref="I96:I99" si="34">D96-C96*E96</f>
        <v>-442.64481545000001</v>
      </c>
      <c r="J96" s="1"/>
      <c r="K96" s="1"/>
      <c r="L96" s="1"/>
      <c r="M96" s="11" t="s">
        <v>54</v>
      </c>
      <c r="N96" s="11" t="s">
        <v>55</v>
      </c>
      <c r="O96" s="11" t="s">
        <v>56</v>
      </c>
      <c r="P96" s="11" t="s">
        <v>62</v>
      </c>
      <c r="Q96" s="11"/>
      <c r="R96" s="11"/>
      <c r="S96" s="1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2">
      <c r="A97" s="1"/>
      <c r="B97" s="11"/>
      <c r="C97" s="11">
        <v>0</v>
      </c>
      <c r="D97" s="11">
        <v>-442.57345555000001</v>
      </c>
      <c r="E97" s="11">
        <v>-4.0007999999999999</v>
      </c>
      <c r="F97" s="11">
        <v>9.7000000000000003E-2</v>
      </c>
      <c r="G97" s="11">
        <f t="shared" si="32"/>
        <v>3.9037999999999999</v>
      </c>
      <c r="H97" s="11">
        <f t="shared" si="33"/>
        <v>-0.79620000000000024</v>
      </c>
      <c r="I97" s="11">
        <f t="shared" si="34"/>
        <v>-442.57345555000001</v>
      </c>
      <c r="J97" s="1"/>
      <c r="K97" s="1"/>
      <c r="L97" s="1"/>
      <c r="M97" s="11"/>
      <c r="N97" s="11"/>
      <c r="O97" s="11"/>
      <c r="P97" s="11"/>
      <c r="Q97" s="11"/>
      <c r="R97" s="11"/>
      <c r="S97" s="1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2">
      <c r="A98" s="1"/>
      <c r="B98" s="11"/>
      <c r="C98" s="11">
        <v>0.5</v>
      </c>
      <c r="D98" s="11">
        <v>-444.39981986999999</v>
      </c>
      <c r="E98" s="11">
        <v>-3.2290999999999999</v>
      </c>
      <c r="F98" s="11">
        <v>9.7000000000000003E-2</v>
      </c>
      <c r="G98" s="11">
        <f t="shared" si="32"/>
        <v>3.1320999999999999</v>
      </c>
      <c r="H98" s="11">
        <f t="shared" si="33"/>
        <v>-1.5679000000000003</v>
      </c>
      <c r="I98" s="11">
        <f t="shared" si="34"/>
        <v>-442.78526986999998</v>
      </c>
      <c r="J98" s="1"/>
      <c r="K98" s="1"/>
      <c r="L98" s="1"/>
      <c r="M98" s="9" t="s">
        <v>57</v>
      </c>
      <c r="N98" s="9" t="s">
        <v>64</v>
      </c>
      <c r="O98" s="9" t="s">
        <v>63</v>
      </c>
      <c r="P98" s="11"/>
      <c r="Q98" s="11"/>
      <c r="R98" s="11"/>
      <c r="S98" s="1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2">
      <c r="A99" s="1"/>
      <c r="B99" s="11"/>
      <c r="C99" s="11">
        <v>1</v>
      </c>
      <c r="D99" s="11">
        <v>-445.92313460999998</v>
      </c>
      <c r="E99" s="11">
        <v>-2.8839999999999999</v>
      </c>
      <c r="F99" s="11">
        <v>9.7000000000000003E-2</v>
      </c>
      <c r="G99" s="11">
        <f t="shared" si="32"/>
        <v>2.7869999999999999</v>
      </c>
      <c r="H99" s="11">
        <f t="shared" si="33"/>
        <v>-1.9130000000000003</v>
      </c>
      <c r="I99" s="11">
        <f t="shared" si="34"/>
        <v>-443.03913460999996</v>
      </c>
      <c r="J99" s="1"/>
      <c r="K99" s="1"/>
      <c r="L99" s="1"/>
      <c r="M99" s="11"/>
      <c r="N99" s="11"/>
      <c r="O99" s="11"/>
      <c r="P99" s="11"/>
      <c r="Q99" s="11"/>
      <c r="R99" s="11"/>
      <c r="S99" s="1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1">
        <v>-0.4</v>
      </c>
      <c r="N100" s="11">
        <v>-0.8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>
        <v>-442.65406400000001</v>
      </c>
      <c r="N101" s="1">
        <v>-442.561848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5.75" x14ac:dyDescent="0.2">
      <c r="A102" s="1"/>
      <c r="B102" s="8" t="s">
        <v>73</v>
      </c>
      <c r="C102" s="11" t="s">
        <v>44</v>
      </c>
      <c r="D102" s="11" t="s">
        <v>45</v>
      </c>
      <c r="E102" s="11" t="s">
        <v>46</v>
      </c>
      <c r="F102" s="11" t="s">
        <v>47</v>
      </c>
      <c r="G102" s="11" t="s">
        <v>48</v>
      </c>
      <c r="H102" s="11" t="s">
        <v>49</v>
      </c>
      <c r="I102" s="11" t="s">
        <v>50</v>
      </c>
      <c r="J102" s="1"/>
      <c r="K102" s="1"/>
      <c r="L102" s="1"/>
      <c r="M102" s="15" t="s">
        <v>59</v>
      </c>
      <c r="N102" s="15"/>
      <c r="O102" s="15"/>
      <c r="P102" s="15" t="s">
        <v>61</v>
      </c>
      <c r="Q102" s="15"/>
      <c r="R102" s="15"/>
      <c r="S102" s="1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5.75" x14ac:dyDescent="0.2">
      <c r="A103" s="1"/>
      <c r="B103" s="11"/>
      <c r="C103" s="11">
        <v>-1</v>
      </c>
      <c r="D103" s="11">
        <v>-440.85587708999998</v>
      </c>
      <c r="E103" s="11">
        <v>-4.5461</v>
      </c>
      <c r="F103" s="11">
        <v>4.2999999999999997E-2</v>
      </c>
      <c r="G103" s="11">
        <f>-E103-F103</f>
        <v>4.5030999999999999</v>
      </c>
      <c r="H103" s="11">
        <f>G103-4.7</f>
        <v>-0.1969000000000003</v>
      </c>
      <c r="I103" s="11">
        <f>D103-C103*E103</f>
        <v>-445.40197709</v>
      </c>
      <c r="J103" s="1"/>
      <c r="K103" s="1"/>
      <c r="L103" s="1"/>
      <c r="M103" s="15" t="s">
        <v>60</v>
      </c>
      <c r="N103" s="15"/>
      <c r="O103" s="15"/>
      <c r="Q103" s="11"/>
      <c r="R103" s="11"/>
      <c r="S103" s="1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5.75" x14ac:dyDescent="0.2">
      <c r="A104" s="1"/>
      <c r="B104" s="11"/>
      <c r="C104" s="11">
        <v>-0.5</v>
      </c>
      <c r="D104" s="11">
        <v>-443.05899819000001</v>
      </c>
      <c r="E104" s="11">
        <v>-4.2554999999999996</v>
      </c>
      <c r="F104" s="11">
        <v>4.2999999999999997E-2</v>
      </c>
      <c r="G104" s="11">
        <f t="shared" ref="G104:G107" si="35">-E104-F104</f>
        <v>4.2124999999999995</v>
      </c>
      <c r="H104" s="11">
        <f t="shared" ref="H104:H107" si="36">G104-4.7</f>
        <v>-0.48750000000000071</v>
      </c>
      <c r="I104" s="11">
        <f t="shared" ref="I104:I107" si="37">D104-C104*E104</f>
        <v>-445.18674819</v>
      </c>
      <c r="J104" s="1"/>
      <c r="K104" s="1"/>
      <c r="L104" s="1"/>
      <c r="M104" s="11" t="s">
        <v>54</v>
      </c>
      <c r="N104" s="11" t="s">
        <v>55</v>
      </c>
      <c r="O104" s="11" t="s">
        <v>56</v>
      </c>
      <c r="P104" s="11" t="s">
        <v>62</v>
      </c>
      <c r="Q104" s="11"/>
      <c r="R104" s="11"/>
      <c r="S104" s="1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">
      <c r="A105" s="1"/>
      <c r="B105" s="11"/>
      <c r="C105" s="11">
        <v>0</v>
      </c>
      <c r="D105" s="11">
        <v>-445.09972356999998</v>
      </c>
      <c r="E105" s="11">
        <v>-3.8725000000000001</v>
      </c>
      <c r="F105" s="11">
        <v>4.2999999999999997E-2</v>
      </c>
      <c r="G105" s="11">
        <f t="shared" si="35"/>
        <v>3.8294999999999999</v>
      </c>
      <c r="H105" s="11">
        <f t="shared" si="36"/>
        <v>-0.87050000000000027</v>
      </c>
      <c r="I105" s="11">
        <f t="shared" si="37"/>
        <v>-445.09972356999998</v>
      </c>
      <c r="J105" s="1"/>
      <c r="K105" s="1"/>
      <c r="L105" s="1"/>
      <c r="M105" s="11"/>
      <c r="N105" s="11"/>
      <c r="O105" s="11"/>
      <c r="P105" s="11"/>
      <c r="Q105" s="11"/>
      <c r="R105" s="11"/>
      <c r="S105" s="1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2">
      <c r="A106" s="1"/>
      <c r="B106" s="11"/>
      <c r="C106" s="11">
        <v>0.5</v>
      </c>
      <c r="D106" s="11">
        <v>-446.92082205999998</v>
      </c>
      <c r="E106" s="11">
        <v>-3.1755</v>
      </c>
      <c r="F106" s="11">
        <v>4.2999999999999997E-2</v>
      </c>
      <c r="G106" s="11">
        <f t="shared" si="35"/>
        <v>3.1324999999999998</v>
      </c>
      <c r="H106" s="11">
        <f t="shared" si="36"/>
        <v>-1.5675000000000003</v>
      </c>
      <c r="I106" s="11">
        <f t="shared" si="37"/>
        <v>-445.33307205999995</v>
      </c>
      <c r="J106" s="1"/>
      <c r="K106" s="1"/>
      <c r="L106" s="1"/>
      <c r="M106" s="9" t="s">
        <v>57</v>
      </c>
      <c r="N106" s="9" t="s">
        <v>64</v>
      </c>
      <c r="O106" s="9" t="s">
        <v>63</v>
      </c>
      <c r="P106" s="11"/>
      <c r="Q106" s="11"/>
      <c r="R106" s="11"/>
      <c r="S106" s="1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2">
      <c r="A107" s="1"/>
      <c r="B107" s="11"/>
      <c r="C107" s="11">
        <v>1</v>
      </c>
      <c r="D107" s="11">
        <v>-448.42131158000001</v>
      </c>
      <c r="E107" s="11">
        <v>-2.8389000000000002</v>
      </c>
      <c r="F107" s="11">
        <v>4.2999999999999997E-2</v>
      </c>
      <c r="G107" s="11">
        <f t="shared" si="35"/>
        <v>2.7959000000000001</v>
      </c>
      <c r="H107" s="11">
        <f t="shared" si="36"/>
        <v>-1.9041000000000001</v>
      </c>
      <c r="I107" s="11">
        <f t="shared" si="37"/>
        <v>-445.58241157999998</v>
      </c>
      <c r="J107" s="1"/>
      <c r="K107" s="1"/>
      <c r="L107" s="1"/>
      <c r="M107" s="11"/>
      <c r="N107" s="11"/>
      <c r="O107" s="11"/>
      <c r="P107" s="11"/>
      <c r="Q107" s="11"/>
      <c r="R107" s="11"/>
      <c r="S107" s="1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1">
        <v>-0.4</v>
      </c>
      <c r="N108" s="11">
        <v>-0.8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1">
        <v>-445.251732</v>
      </c>
      <c r="N109" s="11">
        <v>-445.11010599999997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5.75" x14ac:dyDescent="0.2">
      <c r="A110" s="1"/>
      <c r="B110" s="8" t="s">
        <v>74</v>
      </c>
      <c r="C110" s="11" t="s">
        <v>44</v>
      </c>
      <c r="D110" s="11" t="s">
        <v>45</v>
      </c>
      <c r="E110" s="11" t="s">
        <v>46</v>
      </c>
      <c r="F110" s="11" t="s">
        <v>47</v>
      </c>
      <c r="G110" s="11" t="s">
        <v>48</v>
      </c>
      <c r="H110" s="11" t="s">
        <v>49</v>
      </c>
      <c r="I110" s="11" t="s">
        <v>50</v>
      </c>
      <c r="J110" s="1"/>
      <c r="K110" s="1"/>
      <c r="L110" s="1"/>
      <c r="M110" s="15" t="s">
        <v>59</v>
      </c>
      <c r="N110" s="15"/>
      <c r="O110" s="15"/>
      <c r="P110" s="15" t="s">
        <v>61</v>
      </c>
      <c r="Q110" s="15"/>
      <c r="R110" s="15"/>
      <c r="S110" s="1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5.75" x14ac:dyDescent="0.2">
      <c r="A111" s="1"/>
      <c r="B111" s="11"/>
      <c r="C111" s="11">
        <v>-1</v>
      </c>
      <c r="D111" s="11">
        <v>-448.74203764999999</v>
      </c>
      <c r="E111" s="11">
        <v>-4.8680000000000003</v>
      </c>
      <c r="F111" s="11">
        <v>0.13700000000000001</v>
      </c>
      <c r="G111" s="11">
        <f>-E111-F111</f>
        <v>4.7309999999999999</v>
      </c>
      <c r="H111" s="11">
        <f>G111-4.7</f>
        <v>3.0999999999999694E-2</v>
      </c>
      <c r="I111" s="11">
        <f>D111-C111*E111</f>
        <v>-453.61003764999998</v>
      </c>
      <c r="J111" s="1"/>
      <c r="K111" s="1"/>
      <c r="L111" s="1"/>
      <c r="M111" s="15" t="s">
        <v>60</v>
      </c>
      <c r="N111" s="15"/>
      <c r="O111" s="15"/>
      <c r="Q111" s="11"/>
      <c r="R111" s="11"/>
      <c r="S111" s="1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5.75" x14ac:dyDescent="0.2">
      <c r="A112" s="1"/>
      <c r="B112" s="11"/>
      <c r="C112" s="11">
        <v>-0.5</v>
      </c>
      <c r="D112" s="11">
        <v>-451.14602814</v>
      </c>
      <c r="E112" s="11">
        <v>-4.4554999999999998</v>
      </c>
      <c r="F112" s="11">
        <v>0.13700000000000001</v>
      </c>
      <c r="G112" s="11">
        <f t="shared" ref="G112:G115" si="38">-E112-F112</f>
        <v>4.3185000000000002</v>
      </c>
      <c r="H112" s="11">
        <f t="shared" ref="H112:H115" si="39">G112-4.7</f>
        <v>-0.38149999999999995</v>
      </c>
      <c r="I112" s="11">
        <f t="shared" ref="I112:I115" si="40">D112-C112*E112</f>
        <v>-453.37377814000001</v>
      </c>
      <c r="J112" s="1"/>
      <c r="K112" s="1"/>
      <c r="L112" s="1"/>
      <c r="M112" s="11" t="s">
        <v>54</v>
      </c>
      <c r="N112" s="11" t="s">
        <v>55</v>
      </c>
      <c r="O112" s="11" t="s">
        <v>56</v>
      </c>
      <c r="P112" s="11" t="s">
        <v>62</v>
      </c>
      <c r="Q112" s="11"/>
      <c r="R112" s="11"/>
      <c r="S112" s="1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2">
      <c r="A113" s="1"/>
      <c r="B113" s="11"/>
      <c r="C113" s="11">
        <v>0</v>
      </c>
      <c r="D113" s="11">
        <v>-453.19627785</v>
      </c>
      <c r="E113" s="11">
        <v>-4.1078999999999999</v>
      </c>
      <c r="F113" s="11">
        <v>0.13700000000000001</v>
      </c>
      <c r="G113" s="11">
        <f t="shared" si="38"/>
        <v>3.9708999999999999</v>
      </c>
      <c r="H113" s="11">
        <f t="shared" si="39"/>
        <v>-0.7291000000000003</v>
      </c>
      <c r="I113" s="11">
        <f t="shared" si="40"/>
        <v>-453.19627785</v>
      </c>
      <c r="J113" s="1"/>
      <c r="K113" s="1"/>
      <c r="L113" s="1"/>
      <c r="M113" s="11"/>
      <c r="N113" s="11"/>
      <c r="O113" s="11"/>
      <c r="P113" s="11"/>
      <c r="Q113" s="11"/>
      <c r="R113" s="11"/>
      <c r="S113" s="1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2">
      <c r="A114" s="1"/>
      <c r="B114" s="11"/>
      <c r="C114" s="11">
        <v>0.5</v>
      </c>
      <c r="D114" s="11">
        <v>-455.15288478999997</v>
      </c>
      <c r="E114" s="11">
        <v>-3.6705000000000001</v>
      </c>
      <c r="F114" s="11">
        <v>0.13700000000000001</v>
      </c>
      <c r="G114" s="11">
        <f t="shared" si="38"/>
        <v>3.5335000000000001</v>
      </c>
      <c r="H114" s="11">
        <f t="shared" si="39"/>
        <v>-1.1665000000000001</v>
      </c>
      <c r="I114" s="11">
        <f t="shared" si="40"/>
        <v>-453.31763479</v>
      </c>
      <c r="J114" s="1"/>
      <c r="K114" s="1"/>
      <c r="L114" s="1"/>
      <c r="M114" s="9" t="s">
        <v>57</v>
      </c>
      <c r="N114" s="9" t="s">
        <v>64</v>
      </c>
      <c r="O114" s="9" t="s">
        <v>63</v>
      </c>
      <c r="P114" s="11"/>
      <c r="Q114" s="11"/>
      <c r="R114" s="11"/>
      <c r="S114" s="1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2">
      <c r="A115" s="1"/>
      <c r="B115" s="11"/>
      <c r="C115" s="11">
        <v>1</v>
      </c>
      <c r="D115" s="11">
        <v>-456.85581249000001</v>
      </c>
      <c r="E115" s="11">
        <v>-3.1812</v>
      </c>
      <c r="F115" s="11">
        <v>0.13700000000000001</v>
      </c>
      <c r="G115" s="11">
        <f t="shared" si="38"/>
        <v>3.0442</v>
      </c>
      <c r="H115" s="11">
        <f t="shared" si="39"/>
        <v>-1.6558000000000002</v>
      </c>
      <c r="I115" s="11">
        <f t="shared" si="40"/>
        <v>-453.67461249000002</v>
      </c>
      <c r="J115" s="1"/>
      <c r="K115" s="1"/>
      <c r="L115" s="1"/>
      <c r="M115" s="11"/>
      <c r="N115" s="11"/>
      <c r="O115" s="11"/>
      <c r="P115" s="11"/>
      <c r="Q115" s="11"/>
      <c r="R115" s="11"/>
      <c r="S115" s="1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2">
      <c r="A116" s="1"/>
      <c r="B116" s="1"/>
      <c r="C116" s="1"/>
      <c r="D116" s="14"/>
      <c r="E116" s="1"/>
      <c r="F116" s="1"/>
      <c r="G116" s="1"/>
      <c r="H116" s="1"/>
      <c r="I116" s="1"/>
      <c r="J116" s="1"/>
      <c r="K116" s="1"/>
      <c r="L116" s="1"/>
      <c r="M116" s="11">
        <v>-0.4</v>
      </c>
      <c r="N116" s="11">
        <v>-0.8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1">
        <v>-453.31959499999999</v>
      </c>
      <c r="N117" s="11">
        <v>-453.230906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</sheetData>
  <mergeCells count="43">
    <mergeCell ref="H5:J5"/>
    <mergeCell ref="M4:O4"/>
    <mergeCell ref="M5:O5"/>
    <mergeCell ref="P4:S4"/>
    <mergeCell ref="M14:O14"/>
    <mergeCell ref="P14:S14"/>
    <mergeCell ref="M15:O15"/>
    <mergeCell ref="M22:O22"/>
    <mergeCell ref="P22:S22"/>
    <mergeCell ref="M23:O23"/>
    <mergeCell ref="M30:O30"/>
    <mergeCell ref="P30:S30"/>
    <mergeCell ref="M31:O31"/>
    <mergeCell ref="M38:O38"/>
    <mergeCell ref="P38:S38"/>
    <mergeCell ref="M39:O39"/>
    <mergeCell ref="M46:O46"/>
    <mergeCell ref="P46:S46"/>
    <mergeCell ref="M47:O47"/>
    <mergeCell ref="M54:O54"/>
    <mergeCell ref="P54:S54"/>
    <mergeCell ref="M55:O55"/>
    <mergeCell ref="M62:O62"/>
    <mergeCell ref="P62:S62"/>
    <mergeCell ref="M63:O63"/>
    <mergeCell ref="M70:O70"/>
    <mergeCell ref="P70:S70"/>
    <mergeCell ref="M71:O71"/>
    <mergeCell ref="M78:O78"/>
    <mergeCell ref="P78:S78"/>
    <mergeCell ref="M79:O79"/>
    <mergeCell ref="M86:O86"/>
    <mergeCell ref="P86:S86"/>
    <mergeCell ref="M87:O87"/>
    <mergeCell ref="M94:O94"/>
    <mergeCell ref="P94:S94"/>
    <mergeCell ref="M111:O111"/>
    <mergeCell ref="M95:O95"/>
    <mergeCell ref="M102:O102"/>
    <mergeCell ref="P102:S102"/>
    <mergeCell ref="M103:O103"/>
    <mergeCell ref="M110:O110"/>
    <mergeCell ref="P110:S1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8E31-8423-4A45-9408-CEC1FD35FDC8}">
  <dimension ref="B1:I51"/>
  <sheetViews>
    <sheetView topLeftCell="A13" zoomScale="115" zoomScaleNormal="115" workbookViewId="0">
      <selection activeCell="F46" sqref="F46"/>
    </sheetView>
  </sheetViews>
  <sheetFormatPr defaultRowHeight="12.75" x14ac:dyDescent="0.2"/>
  <cols>
    <col min="1" max="1" width="9" style="2"/>
    <col min="2" max="2" width="33.375" style="12" customWidth="1"/>
    <col min="3" max="3" width="10.5" style="2" customWidth="1"/>
    <col min="4" max="5" width="9" style="2"/>
    <col min="6" max="6" width="15.125" style="2" customWidth="1"/>
    <col min="7" max="16384" width="9" style="2"/>
  </cols>
  <sheetData>
    <row r="1" spans="2:6" x14ac:dyDescent="0.2">
      <c r="B1" s="12" t="s">
        <v>36</v>
      </c>
      <c r="E1" s="2">
        <v>-3.4032848800000002</v>
      </c>
    </row>
    <row r="2" spans="2:6" x14ac:dyDescent="0.2">
      <c r="B2" s="12" t="s">
        <v>26</v>
      </c>
      <c r="C2" s="2">
        <v>-11.98230828</v>
      </c>
      <c r="D2" s="2">
        <v>-0.40745700000000001</v>
      </c>
      <c r="E2" s="2">
        <f>C2+D2</f>
        <v>-12.389765280000001</v>
      </c>
    </row>
    <row r="3" spans="2:6" x14ac:dyDescent="0.2">
      <c r="B3" s="12" t="s">
        <v>31</v>
      </c>
      <c r="C3" s="2">
        <v>-14.217966499999999</v>
      </c>
      <c r="D3" s="2">
        <v>8.6572999999999997E-2</v>
      </c>
      <c r="E3" s="2">
        <f t="shared" ref="E3:E4" si="0">C3+D3</f>
        <v>-14.1313935</v>
      </c>
    </row>
    <row r="4" spans="2:6" x14ac:dyDescent="0.2">
      <c r="B4" s="12" t="s">
        <v>35</v>
      </c>
      <c r="C4" s="2">
        <v>-24.28658033</v>
      </c>
      <c r="D4" s="2">
        <v>0.44189600000000001</v>
      </c>
      <c r="E4" s="2">
        <f t="shared" si="0"/>
        <v>-23.84468433</v>
      </c>
      <c r="F4" s="2">
        <f>E4+E7</f>
        <v>-452.40872632999998</v>
      </c>
    </row>
    <row r="6" spans="2:6" x14ac:dyDescent="0.2">
      <c r="C6" s="2" t="s">
        <v>14</v>
      </c>
      <c r="D6" s="2" t="s">
        <v>15</v>
      </c>
      <c r="E6" s="2" t="s">
        <v>16</v>
      </c>
      <c r="F6" s="3" t="s">
        <v>17</v>
      </c>
    </row>
    <row r="7" spans="2:6" x14ac:dyDescent="0.2">
      <c r="B7" s="12" t="s">
        <v>0</v>
      </c>
      <c r="C7" s="12">
        <v>-428.56404199999997</v>
      </c>
      <c r="D7" s="2">
        <v>0</v>
      </c>
      <c r="E7" s="2">
        <f>C7+D7</f>
        <v>-428.56404199999997</v>
      </c>
    </row>
    <row r="9" spans="2:6" x14ac:dyDescent="0.2">
      <c r="B9" s="12" t="s">
        <v>1</v>
      </c>
      <c r="C9" s="12">
        <v>-442.65406400000001</v>
      </c>
      <c r="D9" s="2">
        <v>0.133599</v>
      </c>
      <c r="E9" s="2">
        <f t="shared" ref="E9:E19" si="1">C9+D9</f>
        <v>-442.520465</v>
      </c>
    </row>
    <row r="10" spans="2:6" x14ac:dyDescent="0.2">
      <c r="B10" s="12" t="s">
        <v>4</v>
      </c>
      <c r="C10" s="2">
        <v>-441.10825886999999</v>
      </c>
      <c r="D10" s="2">
        <v>8.2822000000000007E-2</v>
      </c>
      <c r="E10" s="2">
        <f t="shared" si="1"/>
        <v>-441.02543686999996</v>
      </c>
      <c r="F10" s="4"/>
    </row>
    <row r="11" spans="2:6" x14ac:dyDescent="0.2">
      <c r="B11" s="12" t="s">
        <v>5</v>
      </c>
      <c r="C11" s="2">
        <v>-442.28015813000002</v>
      </c>
      <c r="D11" s="2">
        <v>0.133599</v>
      </c>
      <c r="E11" s="2">
        <f t="shared" si="1"/>
        <v>-442.14655913000001</v>
      </c>
      <c r="F11" s="4" t="s">
        <v>40</v>
      </c>
    </row>
    <row r="13" spans="2:6" x14ac:dyDescent="0.2">
      <c r="B13" s="12" t="s">
        <v>2</v>
      </c>
      <c r="C13" s="12">
        <v>-445.251732</v>
      </c>
      <c r="D13" s="2">
        <v>0.34287400000000001</v>
      </c>
      <c r="E13" s="2">
        <f t="shared" si="1"/>
        <v>-444.90885800000001</v>
      </c>
    </row>
    <row r="14" spans="2:6" x14ac:dyDescent="0.2">
      <c r="B14" s="12" t="s">
        <v>3</v>
      </c>
      <c r="C14" s="12">
        <v>-445.993987</v>
      </c>
      <c r="D14" s="2">
        <v>0.40847699999999998</v>
      </c>
      <c r="E14" s="2">
        <f t="shared" si="1"/>
        <v>-445.58551</v>
      </c>
    </row>
    <row r="16" spans="2:6" x14ac:dyDescent="0.2">
      <c r="B16" s="12" t="s">
        <v>6</v>
      </c>
      <c r="C16" s="2">
        <v>-433.67389464000001</v>
      </c>
      <c r="D16" s="2">
        <v>3.0974999999999999E-2</v>
      </c>
      <c r="E16" s="2">
        <f t="shared" si="1"/>
        <v>-433.64291964</v>
      </c>
    </row>
    <row r="18" spans="2:6" x14ac:dyDescent="0.2">
      <c r="B18" s="12" t="s">
        <v>7</v>
      </c>
      <c r="C18" s="12">
        <v>-449.53290099999998</v>
      </c>
      <c r="D18" s="2">
        <v>0.71256600000000003</v>
      </c>
      <c r="E18" s="2">
        <f t="shared" si="1"/>
        <v>-448.820335</v>
      </c>
    </row>
    <row r="19" spans="2:6" x14ac:dyDescent="0.2">
      <c r="B19" s="12" t="s">
        <v>20</v>
      </c>
      <c r="C19" s="2">
        <v>-448.72899416000001</v>
      </c>
      <c r="D19" s="2">
        <v>0.69053299999999995</v>
      </c>
      <c r="E19" s="2">
        <f t="shared" si="1"/>
        <v>-448.03846116</v>
      </c>
      <c r="F19" s="3" t="s">
        <v>21</v>
      </c>
    </row>
    <row r="21" spans="2:6" x14ac:dyDescent="0.2">
      <c r="B21" s="12" t="s">
        <v>8</v>
      </c>
      <c r="C21" s="12">
        <v>-449.99967099999998</v>
      </c>
      <c r="D21" s="2">
        <v>0.71390299999999995</v>
      </c>
      <c r="E21" s="2">
        <f>C21+D21</f>
        <v>-449.28576799999996</v>
      </c>
    </row>
    <row r="23" spans="2:6" x14ac:dyDescent="0.2">
      <c r="B23" s="12" t="s">
        <v>9</v>
      </c>
      <c r="C23" s="12">
        <v>-454.21295300000003</v>
      </c>
      <c r="D23" s="2">
        <v>1.036959</v>
      </c>
      <c r="E23" s="2">
        <f>C23+D23</f>
        <v>-453.175994</v>
      </c>
    </row>
    <row r="24" spans="2:6" x14ac:dyDescent="0.2">
      <c r="B24" s="12" t="s">
        <v>22</v>
      </c>
      <c r="C24" s="2">
        <v>-453.31022346999998</v>
      </c>
      <c r="D24" s="2">
        <v>1.017611</v>
      </c>
      <c r="E24" s="2">
        <f>C24+D24</f>
        <v>-452.29261246999999</v>
      </c>
      <c r="F24" s="3" t="s">
        <v>23</v>
      </c>
    </row>
    <row r="25" spans="2:6" x14ac:dyDescent="0.2">
      <c r="B25" s="12" t="s">
        <v>13</v>
      </c>
      <c r="C25" s="12">
        <v>-453.31959499999999</v>
      </c>
      <c r="D25" s="2">
        <v>1.014988</v>
      </c>
      <c r="E25" s="2">
        <f>C25+D25</f>
        <v>-452.30460699999998</v>
      </c>
    </row>
    <row r="27" spans="2:6" x14ac:dyDescent="0.2">
      <c r="B27" s="12" t="s">
        <v>11</v>
      </c>
      <c r="C27" s="2">
        <v>-438.45168926000002</v>
      </c>
      <c r="D27" s="2">
        <v>0.280638</v>
      </c>
      <c r="E27" s="2">
        <f>C27+D27</f>
        <v>-438.17105126000001</v>
      </c>
    </row>
    <row r="29" spans="2:6" x14ac:dyDescent="0.2">
      <c r="B29" s="12" t="s">
        <v>10</v>
      </c>
      <c r="C29" s="12">
        <v>-444.18840799999998</v>
      </c>
      <c r="D29" s="2">
        <v>0.60931900000000006</v>
      </c>
      <c r="E29" s="2">
        <f>C29+D29</f>
        <v>-443.57908899999995</v>
      </c>
    </row>
    <row r="31" spans="2:6" x14ac:dyDescent="0.2">
      <c r="B31" s="12" t="s">
        <v>12</v>
      </c>
      <c r="C31" s="12">
        <v>-449.30177099999997</v>
      </c>
      <c r="D31" s="2">
        <v>0.94234899999999999</v>
      </c>
      <c r="E31" s="2">
        <f>C31+D31</f>
        <v>-448.359422</v>
      </c>
    </row>
    <row r="33" spans="2:9" x14ac:dyDescent="0.2">
      <c r="B33" s="12" t="s">
        <v>18</v>
      </c>
      <c r="C33" s="12">
        <v>-443.48771099999999</v>
      </c>
      <c r="D33" s="2">
        <v>0.59233400000000003</v>
      </c>
      <c r="E33" s="2">
        <f>C33+D33</f>
        <v>-442.895377</v>
      </c>
    </row>
    <row r="34" spans="2:9" x14ac:dyDescent="0.2">
      <c r="B34" s="12" t="s">
        <v>19</v>
      </c>
      <c r="C34" s="12">
        <v>-432.07741900000002</v>
      </c>
      <c r="D34" s="2">
        <v>0.19859399999999999</v>
      </c>
      <c r="E34" s="2">
        <f>C34+D34</f>
        <v>-431.87882500000001</v>
      </c>
    </row>
    <row r="37" spans="2:9" x14ac:dyDescent="0.2">
      <c r="B37" s="12" t="s">
        <v>25</v>
      </c>
      <c r="C37" s="5">
        <f>E9-E7-E2</f>
        <v>-1.5666577200000287</v>
      </c>
      <c r="D37" s="2">
        <f>C37</f>
        <v>-1.5666577200000287</v>
      </c>
      <c r="F37" s="2">
        <f>D37</f>
        <v>-1.5666577200000287</v>
      </c>
      <c r="H37" s="2">
        <f>F37</f>
        <v>-1.5666577200000287</v>
      </c>
    </row>
    <row r="38" spans="2:9" x14ac:dyDescent="0.2">
      <c r="B38" s="12" t="s">
        <v>24</v>
      </c>
      <c r="C38" s="2">
        <f>E13-E1-E9</f>
        <v>1.0148918799999933</v>
      </c>
    </row>
    <row r="39" spans="2:9" x14ac:dyDescent="0.2">
      <c r="B39" s="12" t="s">
        <v>27</v>
      </c>
      <c r="C39" s="5">
        <f>E14-E1-E9</f>
        <v>0.33823988000000327</v>
      </c>
      <c r="D39" s="2">
        <f>C39+D37</f>
        <v>-1.2284178400000254</v>
      </c>
      <c r="F39" s="2">
        <f>D39-0.4</f>
        <v>-1.6284178400000253</v>
      </c>
      <c r="H39" s="2">
        <f>D39-0.8</f>
        <v>-2.0284178400000252</v>
      </c>
    </row>
    <row r="40" spans="2:9" x14ac:dyDescent="0.2">
      <c r="B40" s="12" t="s">
        <v>39</v>
      </c>
      <c r="C40" s="2">
        <f>E16+E3-E1-E14</f>
        <v>1.2144817399999965</v>
      </c>
    </row>
    <row r="41" spans="2:9" x14ac:dyDescent="0.2">
      <c r="B41" s="12" t="s">
        <v>28</v>
      </c>
      <c r="C41" s="5">
        <f>E21-E14-E1</f>
        <v>-0.29697311999996234</v>
      </c>
      <c r="D41" s="2">
        <f>D39+C41</f>
        <v>-1.5253909599999877</v>
      </c>
      <c r="F41" s="2">
        <f>D41-0.8</f>
        <v>-2.3253909599999876</v>
      </c>
      <c r="H41" s="2">
        <f>D41-1.6</f>
        <v>-3.1253909599999878</v>
      </c>
    </row>
    <row r="42" spans="2:9" x14ac:dyDescent="0.2">
      <c r="B42" s="12" t="s">
        <v>29</v>
      </c>
      <c r="C42" s="2">
        <f>E18-E1-E14</f>
        <v>0.16845988000000034</v>
      </c>
    </row>
    <row r="43" spans="2:9" x14ac:dyDescent="0.2">
      <c r="B43" s="12" t="s">
        <v>30</v>
      </c>
      <c r="C43" s="5">
        <f>E23-E1-E21</f>
        <v>-0.48694112000003997</v>
      </c>
      <c r="D43" s="2">
        <f>D41+C43</f>
        <v>-2.0123320800000277</v>
      </c>
      <c r="F43" s="2">
        <f>D43-1.2</f>
        <v>-3.2123320800000279</v>
      </c>
      <c r="H43" s="2">
        <f>D43-2.4</f>
        <v>-4.4123320800000272</v>
      </c>
    </row>
    <row r="44" spans="2:9" x14ac:dyDescent="0.2">
      <c r="B44" s="12" t="s">
        <v>32</v>
      </c>
      <c r="C44" s="6">
        <f>E25-E23</f>
        <v>0.871387000000027</v>
      </c>
      <c r="E44" s="2">
        <f>D43+C44</f>
        <v>-1.1409450800000007</v>
      </c>
      <c r="G44" s="2">
        <f>F43+C44</f>
        <v>-2.3409450800000009</v>
      </c>
      <c r="I44" s="2">
        <f>H43+C44</f>
        <v>-3.5409450800000002</v>
      </c>
    </row>
    <row r="45" spans="2:9" x14ac:dyDescent="0.2">
      <c r="B45" s="12" t="s">
        <v>33</v>
      </c>
      <c r="C45" s="5">
        <f>E29+E3-E1-E23</f>
        <v>-1.1312036199999511</v>
      </c>
      <c r="D45" s="2">
        <f>D43+C45</f>
        <v>-3.1435356999999788</v>
      </c>
      <c r="F45" s="2">
        <f>D45-1.6</f>
        <v>-4.7435356999999794</v>
      </c>
      <c r="H45" s="2">
        <f>D45-3.2</f>
        <v>-6.343535699999979</v>
      </c>
    </row>
    <row r="46" spans="2:9" x14ac:dyDescent="0.2">
      <c r="B46" s="12" t="s">
        <v>34</v>
      </c>
      <c r="C46" s="5">
        <f>E31-E29-E1</f>
        <v>-1.3770481200000413</v>
      </c>
      <c r="D46" s="2">
        <f>D45+C46</f>
        <v>-4.5205838200000201</v>
      </c>
      <c r="F46" s="2">
        <f>D46-2</f>
        <v>-6.5205838200000201</v>
      </c>
      <c r="H46" s="2">
        <f>D46-4</f>
        <v>-8.5205838200000201</v>
      </c>
    </row>
    <row r="50" spans="2:3" x14ac:dyDescent="0.2">
      <c r="B50" s="12" t="s">
        <v>37</v>
      </c>
      <c r="C50" s="2">
        <f>E33-E7-E3</f>
        <v>-0.19994150000002442</v>
      </c>
    </row>
    <row r="51" spans="2:3" x14ac:dyDescent="0.2">
      <c r="B51" s="12" t="s">
        <v>38</v>
      </c>
      <c r="C51" s="2">
        <f>E34-E7-E1</f>
        <v>8.8501879999966171E-2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7285-4A16-4E08-A49C-B42CC2FB1478}">
  <dimension ref="B1:I51"/>
  <sheetViews>
    <sheetView zoomScale="115" zoomScaleNormal="115" workbookViewId="0">
      <selection activeCell="H46" sqref="H46"/>
    </sheetView>
  </sheetViews>
  <sheetFormatPr defaultRowHeight="12.75" x14ac:dyDescent="0.2"/>
  <cols>
    <col min="1" max="1" width="9" style="2"/>
    <col min="2" max="2" width="33.375" style="12" customWidth="1"/>
    <col min="3" max="3" width="10.5" style="2" customWidth="1"/>
    <col min="4" max="5" width="9" style="2"/>
    <col min="6" max="6" width="15.125" style="2" customWidth="1"/>
    <col min="7" max="16384" width="9" style="2"/>
  </cols>
  <sheetData>
    <row r="1" spans="2:6" x14ac:dyDescent="0.2">
      <c r="B1" s="12" t="s">
        <v>36</v>
      </c>
      <c r="E1" s="2">
        <v>-3.4032848800000002</v>
      </c>
    </row>
    <row r="2" spans="2:6" x14ac:dyDescent="0.2">
      <c r="B2" s="12" t="s">
        <v>26</v>
      </c>
      <c r="C2" s="2">
        <v>-11.98230828</v>
      </c>
      <c r="D2" s="2">
        <v>-0.40745700000000001</v>
      </c>
      <c r="E2" s="2">
        <f>C2+D2</f>
        <v>-12.389765280000001</v>
      </c>
    </row>
    <row r="3" spans="2:6" x14ac:dyDescent="0.2">
      <c r="B3" s="12" t="s">
        <v>31</v>
      </c>
      <c r="C3" s="2">
        <v>-14.217966499999999</v>
      </c>
      <c r="D3" s="2">
        <v>8.6572999999999997E-2</v>
      </c>
      <c r="E3" s="2">
        <f t="shared" ref="E3:E4" si="0">C3+D3</f>
        <v>-14.1313935</v>
      </c>
    </row>
    <row r="4" spans="2:6" x14ac:dyDescent="0.2">
      <c r="B4" s="12" t="s">
        <v>35</v>
      </c>
      <c r="C4" s="2">
        <v>-24.28658033</v>
      </c>
      <c r="D4" s="2">
        <v>0.44189600000000001</v>
      </c>
      <c r="E4" s="2">
        <f t="shared" si="0"/>
        <v>-23.84468433</v>
      </c>
      <c r="F4" s="2">
        <f>E4+E7</f>
        <v>-452.35202033000002</v>
      </c>
    </row>
    <row r="6" spans="2:6" x14ac:dyDescent="0.2">
      <c r="C6" s="2" t="s">
        <v>14</v>
      </c>
      <c r="D6" s="2" t="s">
        <v>15</v>
      </c>
      <c r="E6" s="2" t="s">
        <v>16</v>
      </c>
      <c r="F6" s="3" t="s">
        <v>17</v>
      </c>
    </row>
    <row r="7" spans="2:6" x14ac:dyDescent="0.2">
      <c r="B7" s="12" t="s">
        <v>0</v>
      </c>
      <c r="C7" s="12">
        <v>-428.50733600000001</v>
      </c>
      <c r="D7" s="2">
        <v>0</v>
      </c>
      <c r="E7" s="2">
        <f>C7+D7</f>
        <v>-428.50733600000001</v>
      </c>
    </row>
    <row r="9" spans="2:6" x14ac:dyDescent="0.2">
      <c r="B9" s="12" t="s">
        <v>1</v>
      </c>
      <c r="C9" s="12">
        <v>-442.561848</v>
      </c>
      <c r="D9" s="2">
        <v>0.133599</v>
      </c>
      <c r="E9" s="2">
        <f t="shared" ref="E9:E19" si="1">C9+D9</f>
        <v>-442.42824899999999</v>
      </c>
    </row>
    <row r="10" spans="2:6" x14ac:dyDescent="0.2">
      <c r="B10" s="12" t="s">
        <v>4</v>
      </c>
      <c r="C10" s="2">
        <v>-441.10825886999999</v>
      </c>
      <c r="D10" s="2">
        <v>8.2822000000000007E-2</v>
      </c>
      <c r="E10" s="2">
        <f t="shared" si="1"/>
        <v>-441.02543686999996</v>
      </c>
      <c r="F10" s="4"/>
    </row>
    <row r="11" spans="2:6" x14ac:dyDescent="0.2">
      <c r="B11" s="12" t="s">
        <v>5</v>
      </c>
      <c r="C11" s="2">
        <v>-442.28015813000002</v>
      </c>
      <c r="D11" s="2">
        <v>0.133599</v>
      </c>
      <c r="E11" s="2">
        <f t="shared" si="1"/>
        <v>-442.14655913000001</v>
      </c>
      <c r="F11" s="4" t="s">
        <v>40</v>
      </c>
    </row>
    <row r="13" spans="2:6" x14ac:dyDescent="0.2">
      <c r="B13" s="12" t="s">
        <v>2</v>
      </c>
      <c r="C13" s="12">
        <v>-445.11010599999997</v>
      </c>
      <c r="D13" s="2">
        <v>0.34287400000000001</v>
      </c>
      <c r="E13" s="2">
        <f t="shared" si="1"/>
        <v>-444.76723199999998</v>
      </c>
    </row>
    <row r="14" spans="2:6" x14ac:dyDescent="0.2">
      <c r="B14" s="12" t="s">
        <v>3</v>
      </c>
      <c r="C14" s="12">
        <v>-445.81523900000002</v>
      </c>
      <c r="D14" s="2">
        <v>0.40847699999999998</v>
      </c>
      <c r="E14" s="2">
        <f t="shared" si="1"/>
        <v>-445.40676200000001</v>
      </c>
    </row>
    <row r="16" spans="2:6" x14ac:dyDescent="0.2">
      <c r="B16" s="12" t="s">
        <v>6</v>
      </c>
      <c r="C16" s="2">
        <v>-433.67389464000001</v>
      </c>
      <c r="D16" s="2">
        <v>3.0974999999999999E-2</v>
      </c>
      <c r="E16" s="2">
        <f t="shared" si="1"/>
        <v>-433.64291964</v>
      </c>
    </row>
    <row r="18" spans="2:6" x14ac:dyDescent="0.2">
      <c r="B18" s="12" t="s">
        <v>7</v>
      </c>
      <c r="C18" s="12">
        <v>-449.230661</v>
      </c>
      <c r="D18" s="2">
        <v>0.71256600000000003</v>
      </c>
      <c r="E18" s="2">
        <f t="shared" si="1"/>
        <v>-448.51809500000002</v>
      </c>
    </row>
    <row r="19" spans="2:6" x14ac:dyDescent="0.2">
      <c r="B19" s="12" t="s">
        <v>20</v>
      </c>
      <c r="C19" s="2">
        <v>-448.72899416000001</v>
      </c>
      <c r="D19" s="2">
        <v>0.69053299999999995</v>
      </c>
      <c r="E19" s="2">
        <f t="shared" si="1"/>
        <v>-448.03846116</v>
      </c>
      <c r="F19" s="3" t="s">
        <v>21</v>
      </c>
    </row>
    <row r="21" spans="2:6" x14ac:dyDescent="0.2">
      <c r="B21" s="12" t="s">
        <v>8</v>
      </c>
      <c r="C21" s="12">
        <v>-449.89312699999999</v>
      </c>
      <c r="D21" s="2">
        <v>0.71390299999999995</v>
      </c>
      <c r="E21" s="2">
        <f>C21+D21</f>
        <v>-449.17922399999998</v>
      </c>
    </row>
    <row r="23" spans="2:6" x14ac:dyDescent="0.2">
      <c r="B23" s="12" t="s">
        <v>9</v>
      </c>
      <c r="C23" s="12">
        <v>-453.949772</v>
      </c>
      <c r="D23" s="2">
        <v>1.036959</v>
      </c>
      <c r="E23" s="2">
        <f>C23+D23</f>
        <v>-452.91281299999997</v>
      </c>
    </row>
    <row r="24" spans="2:6" x14ac:dyDescent="0.2">
      <c r="B24" s="12" t="s">
        <v>22</v>
      </c>
      <c r="C24" s="12">
        <v>-453.949772</v>
      </c>
      <c r="D24" s="2">
        <v>1.017611</v>
      </c>
      <c r="E24" s="2">
        <f>C24+D24</f>
        <v>-452.93216100000001</v>
      </c>
      <c r="F24" s="3" t="s">
        <v>23</v>
      </c>
    </row>
    <row r="25" spans="2:6" x14ac:dyDescent="0.2">
      <c r="B25" s="12" t="s">
        <v>13</v>
      </c>
      <c r="C25" s="12">
        <v>-453.230906</v>
      </c>
      <c r="D25" s="2">
        <v>1.014988</v>
      </c>
      <c r="E25" s="2">
        <f>C25+D25</f>
        <v>-452.21591799999999</v>
      </c>
    </row>
    <row r="27" spans="2:6" x14ac:dyDescent="0.2">
      <c r="B27" s="12" t="s">
        <v>11</v>
      </c>
      <c r="C27" s="2">
        <v>-438.45168926000002</v>
      </c>
      <c r="D27" s="2">
        <v>0.280638</v>
      </c>
      <c r="E27" s="2">
        <f>C27+D27</f>
        <v>-438.17105126000001</v>
      </c>
    </row>
    <row r="29" spans="2:6" x14ac:dyDescent="0.2">
      <c r="B29" s="12" t="s">
        <v>10</v>
      </c>
      <c r="C29" s="12">
        <v>-444.093548</v>
      </c>
      <c r="D29" s="2">
        <v>0.60931900000000006</v>
      </c>
      <c r="E29" s="2">
        <f>C29+D29</f>
        <v>-443.48422899999997</v>
      </c>
    </row>
    <row r="31" spans="2:6" x14ac:dyDescent="0.2">
      <c r="B31" s="12" t="s">
        <v>12</v>
      </c>
      <c r="C31" s="12">
        <v>-448.98514</v>
      </c>
      <c r="D31" s="2">
        <v>0.94234899999999999</v>
      </c>
      <c r="E31" s="2">
        <f>C31+D31</f>
        <v>-448.04279100000002</v>
      </c>
    </row>
    <row r="33" spans="2:9" x14ac:dyDescent="0.2">
      <c r="B33" s="12" t="s">
        <v>18</v>
      </c>
      <c r="C33" s="12">
        <v>-443.28987100000001</v>
      </c>
      <c r="D33" s="2">
        <v>0.59233400000000003</v>
      </c>
      <c r="E33" s="2">
        <f>C33+D33</f>
        <v>-442.69753700000001</v>
      </c>
    </row>
    <row r="34" spans="2:9" x14ac:dyDescent="0.2">
      <c r="B34" s="12" t="s">
        <v>19</v>
      </c>
      <c r="C34" s="12">
        <v>-431.96508899999998</v>
      </c>
      <c r="D34" s="2">
        <v>0.19859399999999999</v>
      </c>
      <c r="E34" s="2">
        <f>C34+D34</f>
        <v>-431.76649499999996</v>
      </c>
    </row>
    <row r="37" spans="2:9" x14ac:dyDescent="0.2">
      <c r="B37" s="12" t="s">
        <v>25</v>
      </c>
      <c r="C37" s="5">
        <f>E9-E7-E2</f>
        <v>-1.5311477199999839</v>
      </c>
      <c r="D37" s="2">
        <f>C37</f>
        <v>-1.5311477199999839</v>
      </c>
      <c r="F37" s="2">
        <f>D37</f>
        <v>-1.5311477199999839</v>
      </c>
      <c r="H37" s="2">
        <f>F37</f>
        <v>-1.5311477199999839</v>
      </c>
    </row>
    <row r="38" spans="2:9" x14ac:dyDescent="0.2">
      <c r="B38" s="12" t="s">
        <v>24</v>
      </c>
      <c r="C38" s="2">
        <f>E13-E1-E9</f>
        <v>1.0643018800000164</v>
      </c>
    </row>
    <row r="39" spans="2:9" x14ac:dyDescent="0.2">
      <c r="B39" s="12" t="s">
        <v>27</v>
      </c>
      <c r="C39" s="5">
        <f>E14-E1-E9</f>
        <v>0.42477187999998023</v>
      </c>
      <c r="D39" s="2">
        <f>C39+D37</f>
        <v>-1.1063758400000037</v>
      </c>
      <c r="F39" s="2">
        <f>D39-0.4</f>
        <v>-1.5063758400000036</v>
      </c>
      <c r="H39" s="2">
        <f>D39-0.8</f>
        <v>-1.9063758400000037</v>
      </c>
    </row>
    <row r="40" spans="2:9" x14ac:dyDescent="0.2">
      <c r="B40" s="12" t="s">
        <v>39</v>
      </c>
      <c r="C40" s="2">
        <f>E16+E3-E1-E14</f>
        <v>1.0357337400000119</v>
      </c>
    </row>
    <row r="41" spans="2:9" x14ac:dyDescent="0.2">
      <c r="B41" s="12" t="s">
        <v>28</v>
      </c>
      <c r="C41" s="5">
        <f>E21-E14-E1</f>
        <v>-0.36917711999996161</v>
      </c>
      <c r="D41" s="2">
        <f>D39+C41</f>
        <v>-1.4755529599999653</v>
      </c>
      <c r="F41" s="2">
        <f>D41-0.8</f>
        <v>-2.2755529599999651</v>
      </c>
      <c r="H41" s="2">
        <f>D41-1.6</f>
        <v>-3.0755529599999654</v>
      </c>
    </row>
    <row r="42" spans="2:9" x14ac:dyDescent="0.2">
      <c r="B42" s="12" t="s">
        <v>29</v>
      </c>
      <c r="C42" s="2">
        <f>E18-E1-E14</f>
        <v>0.29195187999999916</v>
      </c>
    </row>
    <row r="43" spans="2:9" x14ac:dyDescent="0.2">
      <c r="B43" s="12" t="s">
        <v>30</v>
      </c>
      <c r="C43" s="5">
        <f>E24-E1-E21</f>
        <v>-0.34965212000003021</v>
      </c>
      <c r="D43" s="2">
        <f>D41+C43</f>
        <v>-1.8252050799999955</v>
      </c>
      <c r="F43" s="2">
        <f>D43-1.2</f>
        <v>-3.0252050799999957</v>
      </c>
      <c r="H43" s="2">
        <f>D43-2.4</f>
        <v>-4.225205079999995</v>
      </c>
    </row>
    <row r="44" spans="2:9" x14ac:dyDescent="0.2">
      <c r="B44" s="12" t="s">
        <v>32</v>
      </c>
      <c r="C44" s="6">
        <f>E25-E23</f>
        <v>0.69689499999998361</v>
      </c>
      <c r="E44" s="2">
        <f>D43+C44</f>
        <v>-1.1283100800000119</v>
      </c>
      <c r="G44" s="2">
        <f>F43+C44</f>
        <v>-2.3283100800000121</v>
      </c>
      <c r="I44" s="2">
        <f>H43+C44</f>
        <v>-3.5283100800000113</v>
      </c>
    </row>
    <row r="45" spans="2:9" x14ac:dyDescent="0.2">
      <c r="B45" s="12" t="s">
        <v>33</v>
      </c>
      <c r="C45" s="5">
        <f>E29+E3-E1-E24</f>
        <v>-1.2801766199999633</v>
      </c>
      <c r="D45" s="2">
        <f>D43+C45</f>
        <v>-3.1053816999999588</v>
      </c>
      <c r="F45" s="2">
        <f>D45-1.6</f>
        <v>-4.7053816999999594</v>
      </c>
      <c r="H45" s="2">
        <f>D45-3.2</f>
        <v>-6.305381699999959</v>
      </c>
    </row>
    <row r="46" spans="2:9" x14ac:dyDescent="0.2">
      <c r="B46" s="12" t="s">
        <v>34</v>
      </c>
      <c r="C46" s="5">
        <f>E31-E29-E1</f>
        <v>-1.1552771200000516</v>
      </c>
      <c r="D46" s="2">
        <f>D45+C46</f>
        <v>-4.2606588200000104</v>
      </c>
      <c r="F46" s="2">
        <f>D46-2</f>
        <v>-6.2606588200000104</v>
      </c>
      <c r="H46" s="2">
        <f>D46-4</f>
        <v>-8.2606588200000104</v>
      </c>
    </row>
    <row r="50" spans="2:3" x14ac:dyDescent="0.2">
      <c r="B50" s="12" t="s">
        <v>37</v>
      </c>
      <c r="C50" s="2">
        <f>E33-E7-E3</f>
        <v>-5.8807500000002122E-2</v>
      </c>
    </row>
    <row r="51" spans="2:3" x14ac:dyDescent="0.2">
      <c r="B51" s="12" t="s">
        <v>38</v>
      </c>
      <c r="C51" s="2">
        <f>E34-E7-E1</f>
        <v>0.144125880000046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5480-D489-4869-AB9B-9DFB358EBB34}">
  <dimension ref="B1:I51"/>
  <sheetViews>
    <sheetView topLeftCell="A10" zoomScale="115" zoomScaleNormal="115" workbookViewId="0">
      <selection activeCell="C29" sqref="C29"/>
    </sheetView>
  </sheetViews>
  <sheetFormatPr defaultRowHeight="12.75" x14ac:dyDescent="0.2"/>
  <cols>
    <col min="1" max="1" width="9" style="2"/>
    <col min="2" max="2" width="33.375" style="12" customWidth="1"/>
    <col min="3" max="3" width="10.5" style="2" customWidth="1"/>
    <col min="4" max="5" width="9" style="2"/>
    <col min="6" max="6" width="15.125" style="2" customWidth="1"/>
    <col min="7" max="16384" width="9" style="2"/>
  </cols>
  <sheetData>
    <row r="1" spans="2:7" x14ac:dyDescent="0.2">
      <c r="B1" s="12" t="s">
        <v>36</v>
      </c>
      <c r="E1" s="2">
        <v>-3.4032848800000002</v>
      </c>
    </row>
    <row r="2" spans="2:7" x14ac:dyDescent="0.2">
      <c r="B2" s="12" t="s">
        <v>26</v>
      </c>
      <c r="C2" s="2">
        <v>-11.98230828</v>
      </c>
      <c r="D2" s="2">
        <v>-0.40745700000000001</v>
      </c>
      <c r="E2" s="2">
        <f>C2+D2</f>
        <v>-12.389765280000001</v>
      </c>
    </row>
    <row r="3" spans="2:7" x14ac:dyDescent="0.2">
      <c r="B3" s="12" t="s">
        <v>31</v>
      </c>
      <c r="C3" s="2">
        <v>-14.217966499999999</v>
      </c>
      <c r="D3" s="2">
        <v>8.6572999999999997E-2</v>
      </c>
      <c r="E3" s="2">
        <f t="shared" ref="E3:E4" si="0">C3+D3</f>
        <v>-14.1313935</v>
      </c>
    </row>
    <row r="4" spans="2:7" x14ac:dyDescent="0.2">
      <c r="B4" s="12" t="s">
        <v>35</v>
      </c>
      <c r="C4" s="2">
        <v>-24.28658033</v>
      </c>
      <c r="D4" s="2">
        <v>0.44189600000000001</v>
      </c>
      <c r="E4" s="2">
        <f t="shared" si="0"/>
        <v>-23.84468433</v>
      </c>
      <c r="F4" s="2">
        <f>E4+E7</f>
        <v>-452.40824433</v>
      </c>
    </row>
    <row r="6" spans="2:7" x14ac:dyDescent="0.2">
      <c r="C6" s="2" t="s">
        <v>14</v>
      </c>
      <c r="D6" s="2" t="s">
        <v>15</v>
      </c>
      <c r="E6" s="2" t="s">
        <v>16</v>
      </c>
      <c r="F6" s="3" t="s">
        <v>17</v>
      </c>
    </row>
    <row r="7" spans="2:7" x14ac:dyDescent="0.2">
      <c r="B7" s="12" t="s">
        <v>0</v>
      </c>
      <c r="C7" s="2">
        <v>-428.56356</v>
      </c>
      <c r="D7" s="2">
        <v>0</v>
      </c>
      <c r="E7" s="2">
        <f>C7+D7</f>
        <v>-428.56356</v>
      </c>
      <c r="G7" s="2">
        <v>-428.56356</v>
      </c>
    </row>
    <row r="9" spans="2:7" x14ac:dyDescent="0.2">
      <c r="B9" s="12" t="s">
        <v>1</v>
      </c>
      <c r="C9" s="2">
        <v>-442.65350000000001</v>
      </c>
      <c r="D9" s="2">
        <v>0.133599</v>
      </c>
      <c r="E9" s="2">
        <f t="shared" ref="E9:E19" si="1">C9+D9</f>
        <v>-442.519901</v>
      </c>
      <c r="G9" s="2">
        <v>-442.65350000000001</v>
      </c>
    </row>
    <row r="10" spans="2:7" x14ac:dyDescent="0.2">
      <c r="B10" s="12" t="s">
        <v>4</v>
      </c>
      <c r="C10" s="2">
        <v>-441.10825886999999</v>
      </c>
      <c r="D10" s="2">
        <v>8.2822000000000007E-2</v>
      </c>
      <c r="E10" s="2">
        <f t="shared" si="1"/>
        <v>-441.02543686999996</v>
      </c>
      <c r="F10" s="4"/>
    </row>
    <row r="11" spans="2:7" x14ac:dyDescent="0.2">
      <c r="B11" s="12" t="s">
        <v>5</v>
      </c>
      <c r="C11" s="2">
        <v>-442.28015813000002</v>
      </c>
      <c r="D11" s="2">
        <v>0.133599</v>
      </c>
      <c r="E11" s="2">
        <f t="shared" si="1"/>
        <v>-442.14655913000001</v>
      </c>
      <c r="F11" s="4" t="s">
        <v>40</v>
      </c>
    </row>
    <row r="13" spans="2:7" x14ac:dyDescent="0.2">
      <c r="B13" s="12" t="s">
        <v>2</v>
      </c>
      <c r="C13" s="12">
        <v>-445.11010599999997</v>
      </c>
      <c r="D13" s="2">
        <v>0.34287400000000001</v>
      </c>
      <c r="E13" s="2">
        <f t="shared" si="1"/>
        <v>-444.76723199999998</v>
      </c>
    </row>
    <row r="14" spans="2:7" x14ac:dyDescent="0.2">
      <c r="B14" s="12" t="s">
        <v>3</v>
      </c>
      <c r="C14" s="2">
        <v>-445.99302999999998</v>
      </c>
      <c r="D14" s="2">
        <v>0.40847699999999998</v>
      </c>
      <c r="E14" s="2">
        <f t="shared" si="1"/>
        <v>-445.58455299999997</v>
      </c>
      <c r="G14" s="2">
        <v>-445.99302999999998</v>
      </c>
    </row>
    <row r="16" spans="2:7" x14ac:dyDescent="0.2">
      <c r="B16" s="12" t="s">
        <v>6</v>
      </c>
      <c r="C16" s="2">
        <v>-433.67389464000001</v>
      </c>
      <c r="D16" s="2">
        <v>3.0974999999999999E-2</v>
      </c>
      <c r="E16" s="2">
        <f t="shared" si="1"/>
        <v>-433.64291964</v>
      </c>
    </row>
    <row r="18" spans="2:7" x14ac:dyDescent="0.2">
      <c r="B18" s="12" t="s">
        <v>7</v>
      </c>
      <c r="C18" s="12">
        <v>-449.230661</v>
      </c>
      <c r="D18" s="2">
        <v>0.71256600000000003</v>
      </c>
      <c r="E18" s="2">
        <f t="shared" si="1"/>
        <v>-448.51809500000002</v>
      </c>
    </row>
    <row r="19" spans="2:7" x14ac:dyDescent="0.2">
      <c r="B19" s="12" t="s">
        <v>20</v>
      </c>
      <c r="C19" s="2">
        <v>-448.72899416000001</v>
      </c>
      <c r="D19" s="2">
        <v>0.69053299999999995</v>
      </c>
      <c r="E19" s="2">
        <f t="shared" si="1"/>
        <v>-448.03846116</v>
      </c>
      <c r="F19" s="3" t="s">
        <v>21</v>
      </c>
    </row>
    <row r="21" spans="2:7" x14ac:dyDescent="0.2">
      <c r="B21" s="12" t="s">
        <v>8</v>
      </c>
      <c r="C21" s="2">
        <v>-449.99903999999998</v>
      </c>
      <c r="D21" s="2">
        <v>0.71390299999999995</v>
      </c>
      <c r="E21" s="2">
        <f>C21+D21</f>
        <v>-449.28513699999996</v>
      </c>
      <c r="G21" s="2">
        <v>-449.99903999999998</v>
      </c>
    </row>
    <row r="23" spans="2:7" x14ac:dyDescent="0.2">
      <c r="B23" s="12" t="s">
        <v>9</v>
      </c>
      <c r="C23" s="2">
        <v>-454.21172999999999</v>
      </c>
      <c r="D23" s="2">
        <v>1.036959</v>
      </c>
      <c r="E23" s="2">
        <f>C23+D23</f>
        <v>-453.17477099999996</v>
      </c>
      <c r="G23" s="2">
        <v>-454.21172999999999</v>
      </c>
    </row>
    <row r="24" spans="2:7" x14ac:dyDescent="0.2">
      <c r="B24" s="12" t="s">
        <v>22</v>
      </c>
      <c r="C24" s="12">
        <v>-453.949772</v>
      </c>
      <c r="D24" s="2">
        <v>1.017611</v>
      </c>
      <c r="E24" s="2">
        <f>C24+D24</f>
        <v>-452.93216100000001</v>
      </c>
      <c r="F24" s="3" t="s">
        <v>23</v>
      </c>
    </row>
    <row r="25" spans="2:7" x14ac:dyDescent="0.2">
      <c r="B25" s="12" t="s">
        <v>13</v>
      </c>
      <c r="C25" s="2">
        <v>-453.31896</v>
      </c>
      <c r="D25" s="2">
        <v>1.014988</v>
      </c>
      <c r="E25" s="2">
        <f>C25+D25</f>
        <v>-452.30397199999999</v>
      </c>
      <c r="G25" s="2">
        <v>-453.31896</v>
      </c>
    </row>
    <row r="27" spans="2:7" x14ac:dyDescent="0.2">
      <c r="B27" s="12" t="s">
        <v>11</v>
      </c>
      <c r="C27" s="2">
        <v>-438.45168926000002</v>
      </c>
      <c r="D27" s="2">
        <v>0.280638</v>
      </c>
      <c r="E27" s="2">
        <f>C27+D27</f>
        <v>-438.17105126000001</v>
      </c>
    </row>
    <row r="29" spans="2:7" x14ac:dyDescent="0.2">
      <c r="B29" s="12" t="s">
        <v>10</v>
      </c>
      <c r="C29" s="2">
        <v>-444.18783000000002</v>
      </c>
      <c r="D29" s="2">
        <v>0.60931900000000006</v>
      </c>
      <c r="E29" s="2">
        <f>C29+D29</f>
        <v>-443.57851099999999</v>
      </c>
      <c r="G29" s="2">
        <v>-444.18783000000002</v>
      </c>
    </row>
    <row r="31" spans="2:7" x14ac:dyDescent="0.2">
      <c r="B31" s="12" t="s">
        <v>12</v>
      </c>
      <c r="C31" s="12">
        <v>-448.98514</v>
      </c>
      <c r="D31" s="2">
        <v>0.94234899999999999</v>
      </c>
      <c r="E31" s="2">
        <f>C31+D31</f>
        <v>-448.04279100000002</v>
      </c>
    </row>
    <row r="33" spans="2:9" x14ac:dyDescent="0.2">
      <c r="B33" s="12" t="s">
        <v>18</v>
      </c>
      <c r="C33" s="12">
        <v>-443.28987100000001</v>
      </c>
      <c r="D33" s="2">
        <v>0.59233400000000003</v>
      </c>
      <c r="E33" s="2">
        <f>C33+D33</f>
        <v>-442.69753700000001</v>
      </c>
    </row>
    <row r="34" spans="2:9" x14ac:dyDescent="0.2">
      <c r="B34" s="12" t="s">
        <v>19</v>
      </c>
      <c r="C34" s="12">
        <v>-431.96508899999998</v>
      </c>
      <c r="D34" s="2">
        <v>0.19859399999999999</v>
      </c>
      <c r="E34" s="2">
        <f>C34+D34</f>
        <v>-431.76649499999996</v>
      </c>
    </row>
    <row r="37" spans="2:9" x14ac:dyDescent="0.2">
      <c r="B37" s="12" t="s">
        <v>25</v>
      </c>
      <c r="C37" s="5">
        <f>E9-E7-E2</f>
        <v>-1.5665757200000083</v>
      </c>
      <c r="D37" s="2">
        <f>C37</f>
        <v>-1.5665757200000083</v>
      </c>
      <c r="F37" s="2">
        <f>D37</f>
        <v>-1.5665757200000083</v>
      </c>
      <c r="H37" s="2">
        <f>F37</f>
        <v>-1.5665757200000083</v>
      </c>
    </row>
    <row r="38" spans="2:9" x14ac:dyDescent="0.2">
      <c r="B38" s="12" t="s">
        <v>24</v>
      </c>
      <c r="C38" s="2">
        <f>E13-E1-E9</f>
        <v>1.1559538800000269</v>
      </c>
    </row>
    <row r="39" spans="2:9" x14ac:dyDescent="0.2">
      <c r="B39" s="12" t="s">
        <v>27</v>
      </c>
      <c r="C39" s="5">
        <f>E14-E1-E9</f>
        <v>0.33863288000003422</v>
      </c>
      <c r="D39" s="2">
        <f>C39+D37</f>
        <v>-1.2279428399999741</v>
      </c>
      <c r="F39" s="2">
        <f>D39-0.4</f>
        <v>-1.627942839999974</v>
      </c>
      <c r="H39" s="2">
        <f>D39-0.8</f>
        <v>-2.0279428399999739</v>
      </c>
    </row>
    <row r="40" spans="2:9" x14ac:dyDescent="0.2">
      <c r="B40" s="12" t="s">
        <v>39</v>
      </c>
      <c r="C40" s="2">
        <f>E16+E3-E1-E14</f>
        <v>1.2135247399999685</v>
      </c>
    </row>
    <row r="41" spans="2:9" x14ac:dyDescent="0.2">
      <c r="B41" s="12" t="s">
        <v>28</v>
      </c>
      <c r="C41" s="5">
        <f>E21-E14-E1</f>
        <v>-0.29729911999999192</v>
      </c>
      <c r="D41" s="2">
        <f>D39+C41</f>
        <v>-1.525241959999966</v>
      </c>
      <c r="F41" s="2">
        <f>D41-0.8</f>
        <v>-2.3252419599999659</v>
      </c>
      <c r="H41" s="2">
        <f>D41-1.6</f>
        <v>-3.1252419599999661</v>
      </c>
    </row>
    <row r="42" spans="2:9" x14ac:dyDescent="0.2">
      <c r="B42" s="12" t="s">
        <v>29</v>
      </c>
      <c r="C42" s="2">
        <f>E18-E1-E14</f>
        <v>0.46974287999995568</v>
      </c>
    </row>
    <row r="43" spans="2:9" x14ac:dyDescent="0.2">
      <c r="B43" s="12" t="s">
        <v>30</v>
      </c>
      <c r="C43" s="5">
        <f>E24-E1-E21</f>
        <v>-0.24373912000004339</v>
      </c>
      <c r="D43" s="2">
        <f>D41+C43</f>
        <v>-1.7689810800000094</v>
      </c>
      <c r="F43" s="2">
        <f>D43-1.2</f>
        <v>-2.9689810800000096</v>
      </c>
      <c r="H43" s="2">
        <f>D43-2.4</f>
        <v>-4.1689810800000089</v>
      </c>
    </row>
    <row r="44" spans="2:9" x14ac:dyDescent="0.2">
      <c r="B44" s="12" t="s">
        <v>32</v>
      </c>
      <c r="C44" s="6">
        <f>E25-E23</f>
        <v>0.87079899999997679</v>
      </c>
      <c r="E44" s="2">
        <f>D43+C44</f>
        <v>-0.89818208000003263</v>
      </c>
      <c r="G44" s="2">
        <f>F43+C44</f>
        <v>-2.0981820800000328</v>
      </c>
      <c r="I44" s="2">
        <f>H43+C44</f>
        <v>-3.2981820800000321</v>
      </c>
    </row>
    <row r="45" spans="2:9" x14ac:dyDescent="0.2">
      <c r="B45" s="12" t="s">
        <v>33</v>
      </c>
      <c r="C45" s="5">
        <f>E29+E3-E1-E24</f>
        <v>-1.3744586199999844</v>
      </c>
      <c r="D45" s="2">
        <f>D43+C45</f>
        <v>-3.1434396999999938</v>
      </c>
      <c r="F45" s="2">
        <f>D45-1.6</f>
        <v>-4.7434396999999944</v>
      </c>
      <c r="H45" s="2">
        <f>D45-3.2</f>
        <v>-6.343439699999994</v>
      </c>
    </row>
    <row r="46" spans="2:9" x14ac:dyDescent="0.2">
      <c r="B46" s="12" t="s">
        <v>34</v>
      </c>
      <c r="C46" s="5">
        <f>E31-E29-E1</f>
        <v>-1.0609951200000305</v>
      </c>
      <c r="D46" s="2">
        <f>D45+C46</f>
        <v>-4.2044348200000243</v>
      </c>
      <c r="F46" s="2">
        <f>D46-2</f>
        <v>-6.2044348200000243</v>
      </c>
      <c r="H46" s="2">
        <f>D46-4</f>
        <v>-8.2044348200000243</v>
      </c>
    </row>
    <row r="50" spans="2:3" x14ac:dyDescent="0.2">
      <c r="B50" s="12" t="s">
        <v>37</v>
      </c>
      <c r="C50" s="2">
        <f>E33-E7-E3</f>
        <v>-2.5835000000160591E-3</v>
      </c>
    </row>
    <row r="51" spans="2:3" x14ac:dyDescent="0.2">
      <c r="B51" s="12" t="s">
        <v>38</v>
      </c>
      <c r="C51" s="2">
        <f>E34-E7-E1</f>
        <v>0.20034988000003207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B925-702E-4D66-9C98-C3393273A32E}">
  <dimension ref="B1:I51"/>
  <sheetViews>
    <sheetView topLeftCell="A10" zoomScale="115" zoomScaleNormal="115" workbookViewId="0">
      <selection activeCell="D46" sqref="D46"/>
    </sheetView>
  </sheetViews>
  <sheetFormatPr defaultRowHeight="12.75" x14ac:dyDescent="0.2"/>
  <cols>
    <col min="1" max="1" width="9" style="2"/>
    <col min="2" max="2" width="33.375" style="12" customWidth="1"/>
    <col min="3" max="3" width="10.5" style="2" customWidth="1"/>
    <col min="4" max="5" width="9" style="2"/>
    <col min="6" max="6" width="15.125" style="2" customWidth="1"/>
    <col min="7" max="16384" width="9" style="2"/>
  </cols>
  <sheetData>
    <row r="1" spans="2:7" x14ac:dyDescent="0.2">
      <c r="B1" s="12" t="s">
        <v>36</v>
      </c>
      <c r="E1" s="2">
        <v>-3.4032848800000002</v>
      </c>
    </row>
    <row r="2" spans="2:7" x14ac:dyDescent="0.2">
      <c r="B2" s="12" t="s">
        <v>26</v>
      </c>
      <c r="C2" s="2">
        <v>-11.98230828</v>
      </c>
      <c r="D2" s="2">
        <v>-0.40745700000000001</v>
      </c>
      <c r="E2" s="2">
        <f>C2+D2</f>
        <v>-12.389765280000001</v>
      </c>
    </row>
    <row r="3" spans="2:7" x14ac:dyDescent="0.2">
      <c r="B3" s="12" t="s">
        <v>31</v>
      </c>
      <c r="C3" s="2">
        <v>-14.217966499999999</v>
      </c>
      <c r="D3" s="2">
        <v>8.6572999999999997E-2</v>
      </c>
      <c r="E3" s="2">
        <f t="shared" ref="E3:E4" si="0">C3+D3</f>
        <v>-14.1313935</v>
      </c>
    </row>
    <row r="4" spans="2:7" x14ac:dyDescent="0.2">
      <c r="B4" s="12" t="s">
        <v>35</v>
      </c>
      <c r="C4" s="2">
        <v>-24.28658033</v>
      </c>
      <c r="D4" s="2">
        <v>0.44189600000000001</v>
      </c>
      <c r="E4" s="2">
        <f t="shared" si="0"/>
        <v>-23.84468433</v>
      </c>
      <c r="F4" s="2">
        <f>E4+E7</f>
        <v>-452.35213433000001</v>
      </c>
    </row>
    <row r="6" spans="2:7" x14ac:dyDescent="0.2">
      <c r="C6" s="2" t="s">
        <v>14</v>
      </c>
      <c r="D6" s="2" t="s">
        <v>15</v>
      </c>
      <c r="E6" s="2" t="s">
        <v>16</v>
      </c>
      <c r="F6" s="3" t="s">
        <v>17</v>
      </c>
    </row>
    <row r="7" spans="2:7" x14ac:dyDescent="0.2">
      <c r="B7" s="12" t="s">
        <v>0</v>
      </c>
      <c r="C7" s="2">
        <v>-428.50745000000001</v>
      </c>
      <c r="D7" s="2">
        <v>0</v>
      </c>
      <c r="E7" s="2">
        <f>C7+D7</f>
        <v>-428.50745000000001</v>
      </c>
      <c r="G7" s="2">
        <v>-428.50745000000001</v>
      </c>
    </row>
    <row r="9" spans="2:7" x14ac:dyDescent="0.2">
      <c r="B9" s="12" t="s">
        <v>1</v>
      </c>
      <c r="C9" s="2">
        <v>-442.56175000000002</v>
      </c>
      <c r="D9" s="2">
        <v>0.133599</v>
      </c>
      <c r="E9" s="2">
        <f t="shared" ref="E9:E19" si="1">C9+D9</f>
        <v>-442.42815100000001</v>
      </c>
      <c r="G9" s="2">
        <v>-442.56175000000002</v>
      </c>
    </row>
    <row r="10" spans="2:7" x14ac:dyDescent="0.2">
      <c r="B10" s="12" t="s">
        <v>4</v>
      </c>
      <c r="C10" s="2">
        <v>-441.10825886999999</v>
      </c>
      <c r="D10" s="2">
        <v>8.2822000000000007E-2</v>
      </c>
      <c r="E10" s="2">
        <f t="shared" si="1"/>
        <v>-441.02543686999996</v>
      </c>
      <c r="F10" s="4"/>
    </row>
    <row r="11" spans="2:7" x14ac:dyDescent="0.2">
      <c r="B11" s="12" t="s">
        <v>5</v>
      </c>
      <c r="C11" s="2">
        <v>-442.28015813000002</v>
      </c>
      <c r="D11" s="2">
        <v>0.133599</v>
      </c>
      <c r="E11" s="2">
        <f t="shared" si="1"/>
        <v>-442.14655913000001</v>
      </c>
      <c r="F11" s="4" t="s">
        <v>40</v>
      </c>
    </row>
    <row r="13" spans="2:7" x14ac:dyDescent="0.2">
      <c r="B13" s="12" t="s">
        <v>2</v>
      </c>
      <c r="C13" s="12">
        <v>-445.251732</v>
      </c>
      <c r="D13" s="2">
        <v>0.34287400000000001</v>
      </c>
      <c r="E13" s="2">
        <f t="shared" si="1"/>
        <v>-444.90885800000001</v>
      </c>
    </row>
    <row r="14" spans="2:7" x14ac:dyDescent="0.2">
      <c r="B14" s="12" t="s">
        <v>3</v>
      </c>
      <c r="C14" s="2">
        <v>-445.81486999999998</v>
      </c>
      <c r="D14" s="2">
        <v>0.40847699999999998</v>
      </c>
      <c r="E14" s="2">
        <f t="shared" si="1"/>
        <v>-445.40639299999998</v>
      </c>
      <c r="G14" s="2">
        <v>-445.81486999999998</v>
      </c>
    </row>
    <row r="16" spans="2:7" x14ac:dyDescent="0.2">
      <c r="B16" s="12" t="s">
        <v>6</v>
      </c>
      <c r="C16" s="2">
        <v>-433.67389464000001</v>
      </c>
      <c r="D16" s="2">
        <v>3.0974999999999999E-2</v>
      </c>
      <c r="E16" s="2">
        <f t="shared" si="1"/>
        <v>-433.64291964</v>
      </c>
    </row>
    <row r="18" spans="2:7" x14ac:dyDescent="0.2">
      <c r="B18" s="12" t="s">
        <v>7</v>
      </c>
      <c r="C18" s="12">
        <v>-449.53290099999998</v>
      </c>
      <c r="D18" s="2">
        <v>0.71256600000000003</v>
      </c>
      <c r="E18" s="2">
        <f t="shared" si="1"/>
        <v>-448.820335</v>
      </c>
    </row>
    <row r="19" spans="2:7" x14ac:dyDescent="0.2">
      <c r="B19" s="12" t="s">
        <v>20</v>
      </c>
      <c r="C19" s="2">
        <v>-448.72899416000001</v>
      </c>
      <c r="D19" s="2">
        <v>0.69053299999999995</v>
      </c>
      <c r="E19" s="2">
        <f t="shared" si="1"/>
        <v>-448.03846116</v>
      </c>
      <c r="F19" s="3" t="s">
        <v>21</v>
      </c>
    </row>
    <row r="21" spans="2:7" x14ac:dyDescent="0.2">
      <c r="B21" s="12" t="s">
        <v>8</v>
      </c>
      <c r="C21" s="2">
        <v>-449.89298000000002</v>
      </c>
      <c r="D21" s="2">
        <v>0.71390299999999995</v>
      </c>
      <c r="E21" s="2">
        <f>C21+D21</f>
        <v>-449.17907700000001</v>
      </c>
      <c r="G21" s="2">
        <v>-449.89298000000002</v>
      </c>
    </row>
    <row r="23" spans="2:7" x14ac:dyDescent="0.2">
      <c r="B23" s="12" t="s">
        <v>9</v>
      </c>
      <c r="C23" s="2">
        <v>-453.94898000000001</v>
      </c>
      <c r="D23" s="2">
        <v>1.036959</v>
      </c>
      <c r="E23" s="2">
        <f>C23+D23</f>
        <v>-452.91202099999998</v>
      </c>
      <c r="G23" s="2">
        <v>-453.94898000000001</v>
      </c>
    </row>
    <row r="24" spans="2:7" x14ac:dyDescent="0.2">
      <c r="B24" s="12" t="s">
        <v>22</v>
      </c>
      <c r="C24" s="2">
        <v>-453.31022346999998</v>
      </c>
      <c r="D24" s="2">
        <v>1.017611</v>
      </c>
      <c r="E24" s="2">
        <f>C24+D24</f>
        <v>-452.29261246999999</v>
      </c>
      <c r="F24" s="3" t="s">
        <v>23</v>
      </c>
    </row>
    <row r="25" spans="2:7" x14ac:dyDescent="0.2">
      <c r="B25" s="12" t="s">
        <v>13</v>
      </c>
      <c r="C25" s="2">
        <v>-453.23093</v>
      </c>
      <c r="D25" s="2">
        <v>1.014988</v>
      </c>
      <c r="E25" s="2">
        <f>C25+D25</f>
        <v>-452.21594199999998</v>
      </c>
      <c r="G25" s="2">
        <v>-453.23093</v>
      </c>
    </row>
    <row r="27" spans="2:7" x14ac:dyDescent="0.2">
      <c r="B27" s="12" t="s">
        <v>11</v>
      </c>
      <c r="C27" s="2">
        <v>-438.45168926000002</v>
      </c>
      <c r="D27" s="2">
        <v>0.280638</v>
      </c>
      <c r="E27" s="2">
        <f>C27+D27</f>
        <v>-438.17105126000001</v>
      </c>
    </row>
    <row r="29" spans="2:7" x14ac:dyDescent="0.2">
      <c r="B29" s="12" t="s">
        <v>10</v>
      </c>
      <c r="C29" s="12">
        <v>-444.18840799999998</v>
      </c>
      <c r="D29" s="2">
        <v>0.60931900000000006</v>
      </c>
      <c r="E29" s="2">
        <f>C29+D29</f>
        <v>-443.57908899999995</v>
      </c>
    </row>
    <row r="31" spans="2:7" x14ac:dyDescent="0.2">
      <c r="B31" s="12" t="s">
        <v>12</v>
      </c>
      <c r="C31" s="12">
        <v>-449.30177099999997</v>
      </c>
      <c r="D31" s="2">
        <v>0.94234899999999999</v>
      </c>
      <c r="E31" s="2">
        <f>C31+D31</f>
        <v>-448.359422</v>
      </c>
    </row>
    <row r="33" spans="2:9" x14ac:dyDescent="0.2">
      <c r="B33" s="12" t="s">
        <v>18</v>
      </c>
      <c r="C33" s="12">
        <v>-443.48771099999999</v>
      </c>
      <c r="D33" s="2">
        <v>0.59233400000000003</v>
      </c>
      <c r="E33" s="2">
        <f>C33+D33</f>
        <v>-442.895377</v>
      </c>
    </row>
    <row r="34" spans="2:9" x14ac:dyDescent="0.2">
      <c r="B34" s="12" t="s">
        <v>19</v>
      </c>
      <c r="C34" s="12">
        <v>-432.07741900000002</v>
      </c>
      <c r="D34" s="2">
        <v>0.19859399999999999</v>
      </c>
      <c r="E34" s="2">
        <f>C34+D34</f>
        <v>-431.87882500000001</v>
      </c>
    </row>
    <row r="37" spans="2:9" x14ac:dyDescent="0.2">
      <c r="B37" s="12" t="s">
        <v>25</v>
      </c>
      <c r="C37" s="5">
        <f>E9-E7-E2</f>
        <v>-1.5309357200000075</v>
      </c>
      <c r="D37" s="2">
        <f>C37</f>
        <v>-1.5309357200000075</v>
      </c>
      <c r="F37" s="2">
        <f>D37</f>
        <v>-1.5309357200000075</v>
      </c>
      <c r="H37" s="2">
        <f>F37</f>
        <v>-1.5309357200000075</v>
      </c>
    </row>
    <row r="38" spans="2:9" x14ac:dyDescent="0.2">
      <c r="B38" s="12" t="s">
        <v>24</v>
      </c>
      <c r="C38" s="2">
        <f>E13-E1-E9</f>
        <v>0.92257788000000573</v>
      </c>
    </row>
    <row r="39" spans="2:9" x14ac:dyDescent="0.2">
      <c r="B39" s="12" t="s">
        <v>27</v>
      </c>
      <c r="C39" s="5">
        <f>E14-E1-E9</f>
        <v>0.42504288000003498</v>
      </c>
      <c r="D39" s="2">
        <f>C39+D37</f>
        <v>-1.1058928399999726</v>
      </c>
      <c r="F39" s="2">
        <f>D39-0.4</f>
        <v>-1.5058928399999725</v>
      </c>
      <c r="H39" s="2">
        <f>D39-0.8</f>
        <v>-1.9058928399999726</v>
      </c>
    </row>
    <row r="40" spans="2:9" x14ac:dyDescent="0.2">
      <c r="B40" s="12" t="s">
        <v>39</v>
      </c>
      <c r="C40" s="2">
        <f>E16+E3-E1-E14</f>
        <v>1.0353647399999772</v>
      </c>
    </row>
    <row r="41" spans="2:9" x14ac:dyDescent="0.2">
      <c r="B41" s="12" t="s">
        <v>28</v>
      </c>
      <c r="C41" s="5">
        <f>E21-E14-E1</f>
        <v>-0.36939912000002639</v>
      </c>
      <c r="D41" s="2">
        <f>D39+C41</f>
        <v>-1.475291959999999</v>
      </c>
      <c r="F41" s="2">
        <f>D41-0.8</f>
        <v>-2.2752919599999988</v>
      </c>
      <c r="H41" s="2">
        <f>D41-1.6</f>
        <v>-3.075291959999999</v>
      </c>
    </row>
    <row r="42" spans="2:9" x14ac:dyDescent="0.2">
      <c r="B42" s="12" t="s">
        <v>29</v>
      </c>
      <c r="C42" s="2">
        <f>E18-E1-E14</f>
        <v>-1.0657120000018949E-2</v>
      </c>
    </row>
    <row r="43" spans="2:9" x14ac:dyDescent="0.2">
      <c r="B43" s="12" t="s">
        <v>30</v>
      </c>
      <c r="C43" s="5">
        <f>E23-E1-E21</f>
        <v>-0.32965911999997388</v>
      </c>
      <c r="D43" s="2">
        <f>D41+C43</f>
        <v>-1.8049510799999728</v>
      </c>
      <c r="F43" s="2">
        <f>D43-1.2</f>
        <v>-3.004951079999973</v>
      </c>
      <c r="H43" s="2">
        <f>D43-2.4</f>
        <v>-4.2049510799999723</v>
      </c>
    </row>
    <row r="44" spans="2:9" x14ac:dyDescent="0.2">
      <c r="B44" s="12" t="s">
        <v>32</v>
      </c>
      <c r="C44" s="6">
        <f>E25-E23</f>
        <v>0.69607899999999745</v>
      </c>
      <c r="E44" s="2">
        <f>D43+C44</f>
        <v>-1.1088720799999754</v>
      </c>
      <c r="G44" s="2">
        <f>F43+C44</f>
        <v>-2.3088720799999756</v>
      </c>
      <c r="I44" s="2">
        <f>H43+C44</f>
        <v>-3.5088720799999749</v>
      </c>
    </row>
    <row r="45" spans="2:9" x14ac:dyDescent="0.2">
      <c r="B45" s="12" t="s">
        <v>33</v>
      </c>
      <c r="C45" s="5">
        <f>E29+E3-E1-E23</f>
        <v>-1.3951766199999724</v>
      </c>
      <c r="D45" s="2">
        <f>D43+C45</f>
        <v>-3.2001276999999453</v>
      </c>
      <c r="F45" s="2">
        <f>D45-1.6</f>
        <v>-4.8001276999999458</v>
      </c>
      <c r="H45" s="2">
        <f>D45-3.2</f>
        <v>-6.4001276999999455</v>
      </c>
    </row>
    <row r="46" spans="2:9" x14ac:dyDescent="0.2">
      <c r="B46" s="12" t="s">
        <v>34</v>
      </c>
      <c r="C46" s="5">
        <f>E31-E29-E1</f>
        <v>-1.3770481200000413</v>
      </c>
      <c r="D46" s="2">
        <f>D45+C46</f>
        <v>-4.5771758199999866</v>
      </c>
      <c r="F46" s="2">
        <f>D46-2</f>
        <v>-6.5771758199999866</v>
      </c>
      <c r="H46" s="2">
        <f>D46-4</f>
        <v>-8.5771758199999866</v>
      </c>
    </row>
    <row r="50" spans="2:3" x14ac:dyDescent="0.2">
      <c r="B50" s="12" t="s">
        <v>37</v>
      </c>
      <c r="C50" s="2">
        <f>E33-E7-E3</f>
        <v>-0.25653349999999087</v>
      </c>
    </row>
    <row r="51" spans="2:3" x14ac:dyDescent="0.2">
      <c r="B51" s="12" t="s">
        <v>38</v>
      </c>
      <c r="C51" s="2">
        <f>E34-E7-E1</f>
        <v>3.1909879999999724E-2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CHE</vt:lpstr>
      <vt:lpstr>vaspsol</vt:lpstr>
      <vt:lpstr>CPM-0.4</vt:lpstr>
      <vt:lpstr>CPM-0.8</vt:lpstr>
      <vt:lpstr>vaspsol-0.4  </vt:lpstr>
      <vt:lpstr>vaspsol-0.8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贤迪 马</cp:lastModifiedBy>
  <dcterms:created xsi:type="dcterms:W3CDTF">2015-06-05T18:19:34Z</dcterms:created>
  <dcterms:modified xsi:type="dcterms:W3CDTF">2026-04-17T13:49:17Z</dcterms:modified>
</cp:coreProperties>
</file>